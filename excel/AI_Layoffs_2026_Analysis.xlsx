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pivotTables/pivotTable1.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D:\Projects\anlytics-projects\p1\excel\"/>
    </mc:Choice>
  </mc:AlternateContent>
  <xr:revisionPtr revIDLastSave="0" documentId="13_ncr:1_{4F5691E4-C3E7-405E-8870-5F2352BD2BEC}" xr6:coauthVersionLast="47" xr6:coauthVersionMax="47" xr10:uidLastSave="{00000000-0000-0000-0000-000000000000}"/>
  <bookViews>
    <workbookView xWindow="1125" yWindow="1125" windowWidth="21600" windowHeight="11295" activeTab="1" xr2:uid="{00000000-000D-0000-FFFF-FFFF00000000}"/>
  </bookViews>
  <sheets>
    <sheet name="Cover" sheetId="1" r:id="rId1"/>
    <sheet name="Dashboard" sheetId="2" r:id="rId2"/>
    <sheet name="Pivot" sheetId="6" r:id="rId3"/>
    <sheet name="Data" sheetId="3" r:id="rId4"/>
    <sheet name="Data_Quality" sheetId="4" r:id="rId5"/>
    <sheet name="Dictionary" sheetId="5" r:id="rId6"/>
  </sheets>
  <definedNames>
    <definedName name="d_category_label">Data!$E$2:$E$476</definedName>
    <definedName name="d_company_size_band">Data!$O$2:$O$476</definedName>
    <definedName name="d_industry">Data!$C$2:$C$476</definedName>
    <definedName name="d_is_ai_driven">Data!$F$2:$F$476</definedName>
    <definedName name="d_is_shutdown">Data!$R$2:$R$476</definedName>
    <definedName name="d_month_start">Data!$K$2:$K$476</definedName>
    <definedName name="d_people_cut">Data!$G$2:$G$476</definedName>
    <definedName name="d_sector_group">Data!$D$2:$D$476</definedName>
    <definedName name="d_workforce_pct">Data!$I$2:$I$476</definedName>
    <definedName name="Slicer_company_size_band">#N/A</definedName>
    <definedName name="Slicer_sector_group">#N/A</definedName>
    <definedName name="Slicer_severity_band">#N/A</definedName>
  </definedNames>
  <calcPr calcId="191029"/>
  <pivotCaches>
    <pivotCache cacheId="7"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37" i="2" l="1"/>
  <c r="D37" i="2"/>
  <c r="C37" i="2"/>
  <c r="E36" i="2"/>
  <c r="D36" i="2"/>
  <c r="C36" i="2"/>
  <c r="E35" i="2"/>
  <c r="F35" i="2" s="1"/>
  <c r="D35" i="2"/>
  <c r="C35" i="2"/>
  <c r="E34" i="2"/>
  <c r="F34" i="2" s="1"/>
  <c r="D34" i="2"/>
  <c r="C34" i="2"/>
  <c r="E33" i="2"/>
  <c r="D33" i="2"/>
  <c r="C33" i="2"/>
  <c r="E32" i="2"/>
  <c r="D32" i="2"/>
  <c r="C32" i="2"/>
  <c r="E31" i="2"/>
  <c r="D31" i="2"/>
  <c r="C31" i="2"/>
  <c r="E30" i="2"/>
  <c r="F30" i="2" s="1"/>
  <c r="D30" i="2"/>
  <c r="C30" i="2"/>
  <c r="E29" i="2"/>
  <c r="D29" i="2"/>
  <c r="C29" i="2"/>
  <c r="E28" i="2"/>
  <c r="D28" i="2"/>
  <c r="C28" i="2"/>
  <c r="E27" i="2"/>
  <c r="F27" i="2" s="1"/>
  <c r="D27" i="2"/>
  <c r="C27" i="2"/>
  <c r="E26" i="2"/>
  <c r="D26" i="2"/>
  <c r="C26" i="2"/>
  <c r="E25" i="2"/>
  <c r="D25" i="2"/>
  <c r="C25" i="2"/>
  <c r="B8" i="2"/>
  <c r="F5" i="2"/>
  <c r="F37" i="2" l="1"/>
  <c r="F36" i="2"/>
  <c r="F33" i="2"/>
  <c r="F28" i="2"/>
  <c r="F32" i="2"/>
  <c r="F31" i="2"/>
  <c r="F29" i="2"/>
  <c r="F26" i="2"/>
  <c r="F25" i="2"/>
  <c r="J16" i="2"/>
  <c r="I16" i="2"/>
  <c r="K16" i="2" s="1"/>
  <c r="J17" i="2"/>
  <c r="I17" i="2"/>
  <c r="K17" i="2" s="1"/>
  <c r="D16" i="2"/>
  <c r="C16" i="2"/>
  <c r="I15" i="2"/>
  <c r="D15" i="2"/>
  <c r="C14" i="2"/>
  <c r="C12" i="2"/>
  <c r="J15" i="2"/>
  <c r="J21" i="2"/>
  <c r="I21" i="2"/>
  <c r="K21" i="2" s="1"/>
  <c r="J20" i="2"/>
  <c r="I20" i="2"/>
  <c r="K20" i="2" s="1"/>
  <c r="D8" i="2"/>
  <c r="C15" i="2"/>
  <c r="J14" i="2"/>
  <c r="I14" i="2"/>
  <c r="D14" i="2"/>
  <c r="C8" i="2"/>
  <c r="I18" i="2"/>
  <c r="J19" i="2"/>
  <c r="L19" i="2" s="1"/>
  <c r="I19" i="2"/>
  <c r="J18" i="2"/>
  <c r="J13" i="2"/>
  <c r="I13" i="2"/>
  <c r="D13" i="2"/>
  <c r="C13" i="2"/>
  <c r="J12" i="2"/>
  <c r="I12" i="2"/>
  <c r="D12" i="2"/>
  <c r="E8" i="2"/>
  <c r="L16" i="2" l="1"/>
  <c r="K15" i="2"/>
  <c r="L14" i="2"/>
  <c r="L12" i="2"/>
  <c r="L18" i="2"/>
  <c r="K13" i="2"/>
  <c r="F16" i="2"/>
  <c r="F15" i="2"/>
  <c r="I22" i="2"/>
  <c r="H8" i="2"/>
  <c r="F14" i="2"/>
  <c r="F13" i="2"/>
  <c r="F12" i="2"/>
  <c r="D17" i="2"/>
  <c r="L17" i="2"/>
  <c r="C17" i="2"/>
  <c r="L15" i="2"/>
  <c r="L21" i="2"/>
  <c r="L20" i="2"/>
  <c r="K14" i="2"/>
  <c r="K18" i="2"/>
  <c r="L13" i="2"/>
  <c r="K19" i="2"/>
  <c r="K12" i="2"/>
  <c r="F8" i="2"/>
  <c r="E16" i="2" l="1"/>
  <c r="E15" i="2"/>
  <c r="E14" i="2"/>
  <c r="E13" i="2"/>
  <c r="E12" i="2"/>
  <c r="D18" i="2"/>
  <c r="F17" i="2"/>
  <c r="E17" i="2" l="1"/>
</calcChain>
</file>

<file path=xl/sharedStrings.xml><?xml version="1.0" encoding="utf-8"?>
<sst xmlns="http://schemas.openxmlformats.org/spreadsheetml/2006/main" count="6385" uniqueCount="1440">
  <si>
    <t>All</t>
  </si>
  <si>
    <t>AI Layoffs 2026 - Interactive Excel Dashboard</t>
  </si>
  <si>
    <t>Automotive &amp; Transportation</t>
  </si>
  <si>
    <t>Pick an industry in the orange cell - every number and chart on this sheet recalculates.</t>
  </si>
  <si>
    <t>Consumer Goods</t>
  </si>
  <si>
    <t>Crypto &amp; Fintech</t>
  </si>
  <si>
    <t>Industry filter  &gt;</t>
  </si>
  <si>
    <t>Education</t>
  </si>
  <si>
    <t>Energy</t>
  </si>
  <si>
    <t>Headline</t>
  </si>
  <si>
    <t>Layoff events</t>
  </si>
  <si>
    <t>Jobs cut</t>
  </si>
  <si>
    <t>AI-driven jobs</t>
  </si>
  <si>
    <t>AI share of jobs</t>
  </si>
  <si>
    <t>Avg jobs / event</t>
  </si>
  <si>
    <t>Finance &amp; Banking</t>
  </si>
  <si>
    <t>Government &amp; Nonprofit</t>
  </si>
  <si>
    <t>Healthcare &amp; Pharma</t>
  </si>
  <si>
    <t>1. Why companies cut - by stated reason</t>
  </si>
  <si>
    <t>2. Monthly trend (dated events)</t>
  </si>
  <si>
    <t>Manufacturing</t>
  </si>
  <si>
    <t>Reason</t>
  </si>
  <si>
    <t>Events</t>
  </si>
  <si>
    <t>Share of jobs</t>
  </si>
  <si>
    <t>Avg jobs/event</t>
  </si>
  <si>
    <t>Month</t>
  </si>
  <si>
    <t>AI-driven</t>
  </si>
  <si>
    <t>Other</t>
  </si>
  <si>
    <t>AI share</t>
  </si>
  <si>
    <t>Media &amp; Entertainment</t>
  </si>
  <si>
    <t>AI-Driven</t>
  </si>
  <si>
    <t>Retail</t>
  </si>
  <si>
    <t>Restructure</t>
  </si>
  <si>
    <t>Tech</t>
  </si>
  <si>
    <t>Weak Demand</t>
  </si>
  <si>
    <t>Telecom</t>
  </si>
  <si>
    <t>Cost Cut</t>
  </si>
  <si>
    <t>Merger</t>
  </si>
  <si>
    <t>Total</t>
  </si>
  <si>
    <t>Check: total equals KPI tile</t>
  </si>
  <si>
    <t>Undated (year / multi-year)</t>
  </si>
  <si>
    <t>3. AI share of job cuts by industry (all industries)</t>
  </si>
  <si>
    <t>Industry</t>
  </si>
  <si>
    <t>Charts update with the filter (except the industry chart, which always shows all industries).</t>
  </si>
  <si>
    <t>Did AI really take the jobs?  |  2026 Layoffs Analysis</t>
  </si>
  <si>
    <t>Excel workbook - part of an end-to-end Python &gt; SQL &gt; Excel &gt; Power BI portfolio project</t>
  </si>
  <si>
    <t>Sheets</t>
  </si>
  <si>
    <t>Dashboard     Interactive KPIs, tables and charts - choose an industry in the orange cell</t>
  </si>
  <si>
    <t>Pivot         PivotTable with slicers (reason x industry), built in Excel</t>
  </si>
  <si>
    <t>Data          475 cleaned layoff events (Excel Table: tblLayoffs)</t>
  </si>
  <si>
    <t>Data_Quality  Every data issue found during cleaning and how it was handled</t>
  </si>
  <si>
    <t>Dictionary    Column definitions and sources</t>
  </si>
  <si>
    <t>Colour key: blue text in an orange cell = input you can change. Black = formula.</t>
  </si>
  <si>
    <t>Data: layoffhedge.com 2026 Layoff Dataset (as of 6 Oct 2026, free with attribution); BLS JOLTS via FRED.</t>
  </si>
  <si>
    <t>event_id</t>
  </si>
  <si>
    <t>company</t>
  </si>
  <si>
    <t>industry</t>
  </si>
  <si>
    <t>sector_group</t>
  </si>
  <si>
    <t>category_label</t>
  </si>
  <si>
    <t>is_ai_driven</t>
  </si>
  <si>
    <t>people_cut</t>
  </si>
  <si>
    <t>total_workforce</t>
  </si>
  <si>
    <t>workforce_pct</t>
  </si>
  <si>
    <t>event_date</t>
  </si>
  <si>
    <t>month_start</t>
  </si>
  <si>
    <t>date_precision</t>
  </si>
  <si>
    <t>period_label</t>
  </si>
  <si>
    <t>date_raw</t>
  </si>
  <si>
    <t>company_size_band</t>
  </si>
  <si>
    <t>severity_band</t>
  </si>
  <si>
    <t>layoff_size_band</t>
  </si>
  <si>
    <t>is_shutdown</t>
  </si>
  <si>
    <t>company_event_no</t>
  </si>
  <si>
    <t>company_event_count</t>
  </si>
  <si>
    <t>is_repeat_layoffer</t>
  </si>
  <si>
    <t>source_type</t>
  </si>
  <si>
    <t>source_domain</t>
  </si>
  <si>
    <t>source_url</t>
  </si>
  <si>
    <t>24Hr HomeCare</t>
  </si>
  <si>
    <t>Non-Tech</t>
  </si>
  <si>
    <t>Day</t>
  </si>
  <si>
    <t>Aug 2026</t>
  </si>
  <si>
    <t>Aug 31</t>
  </si>
  <si>
    <t>3 - 10K-50K</t>
  </si>
  <si>
    <t>2 - 5-10%</t>
  </si>
  <si>
    <t>3 - 500-999</t>
  </si>
  <si>
    <t>Government / WARN filing</t>
  </si>
  <si>
    <t>edd.ca.gov</t>
  </si>
  <si>
    <t>https://edd.ca.gov/en/jobs_and_training/Layoff_Services_WARN/</t>
  </si>
  <si>
    <t>AI21 Labs</t>
  </si>
  <si>
    <t>Tech &amp; Digital</t>
  </si>
  <si>
    <t>May 2026</t>
  </si>
  <si>
    <t>May 18</t>
  </si>
  <si>
    <t>1 - &lt;1K</t>
  </si>
  <si>
    <t>4 - 25-99%</t>
  </si>
  <si>
    <t>2 - 100-499</t>
  </si>
  <si>
    <t>News media</t>
  </si>
  <si>
    <t>calcalistech.com</t>
  </si>
  <si>
    <t>https://www.calcalistech.com/ctechnews/article/rjwumhukfx</t>
  </si>
  <si>
    <t>ASML</t>
  </si>
  <si>
    <t>Jan 2026</t>
  </si>
  <si>
    <t>1 - &lt;5%</t>
  </si>
  <si>
    <t>4 - 1K-4.9K</t>
  </si>
  <si>
    <t>informationweek.com</t>
  </si>
  <si>
    <t>https://www.informationweek.com/it-staffing-careers/2026-tech-company-layoffs</t>
  </si>
  <si>
    <t>Abbott House</t>
  </si>
  <si>
    <t>Mar 2026</t>
  </si>
  <si>
    <t>newsweek.com</t>
  </si>
  <si>
    <t>https://www.newsweek.com/list-of-companies-doing-layoffs-in-march-11569808</t>
  </si>
  <si>
    <t>Accenture</t>
  </si>
  <si>
    <t>Year</t>
  </si>
  <si>
    <t>2026 (no month)</t>
  </si>
  <si>
    <t>2026</t>
  </si>
  <si>
    <t>5 - 100K+</t>
  </si>
  <si>
    <t>5 - 5K+</t>
  </si>
  <si>
    <t>intellizence.com</t>
  </si>
  <si>
    <t>https://intellizence.com/insights/layoff-downsizing/major-companies-that-announced-mass-layoffs/</t>
  </si>
  <si>
    <t>Acrisure</t>
  </si>
  <si>
    <t>May 20</t>
  </si>
  <si>
    <t>3 - 10-25%</t>
  </si>
  <si>
    <t>theinsurer.com</t>
  </si>
  <si>
    <t>https://www.theinsurer.com/ti/news/exclusive-acrisure-to-cut-2250-jobs-as-williams-ties-layoffs-to-ai-and-2026-05-20/</t>
  </si>
  <si>
    <t>Aer Lingus</t>
  </si>
  <si>
    <t>Jul 2026</t>
  </si>
  <si>
    <t>Jul 16</t>
  </si>
  <si>
    <t>2 - 1K-10K</t>
  </si>
  <si>
    <t>rte.ie</t>
  </si>
  <si>
    <t>https://www.rte.ie/news/2026/0716/1583614-aer-lingus-jobs/</t>
  </si>
  <si>
    <t>Alameda Health System</t>
  </si>
  <si>
    <t>Mar 9</t>
  </si>
  <si>
    <t>Alan Ritchey</t>
  </si>
  <si>
    <t>Jan 6</t>
  </si>
  <si>
    <t>coloradopolitics.com</t>
  </si>
  <si>
    <t>https://www.coloradopolitics.com/2026/01/07/729-employees-to-be-laid-off-at-usps-transfer-hub-in-aurora/</t>
  </si>
  <si>
    <t>Algoma Steel</t>
  </si>
  <si>
    <t>Alltrna</t>
  </si>
  <si>
    <t>Mar 5</t>
  </si>
  <si>
    <t>1 - &lt;100</t>
  </si>
  <si>
    <t>fiercebiotech.com</t>
  </si>
  <si>
    <t>https://www.fiercebiotech.com/biotech/fierce-biotech-layoff-tracker-2026</t>
  </si>
  <si>
    <t>Amazon</t>
  </si>
  <si>
    <t>Jan 28</t>
  </si>
  <si>
    <t>cnbc.com</t>
  </si>
  <si>
    <t>https://www.cnbc.com/2026/01/28/amazon-layoffs-anti-bureaucracy-ai.html</t>
  </si>
  <si>
    <t>Apr 2026</t>
  </si>
  <si>
    <t>Apr 21</t>
  </si>
  <si>
    <t>wlrn.org</t>
  </si>
  <si>
    <t>https://www.wlrn.org/business/2026-04-21/florida-homestead-amazon-lay-off</t>
  </si>
  <si>
    <t>Aug 28</t>
  </si>
  <si>
    <t>geekwire.com</t>
  </si>
  <si>
    <t>https://www.geekwire.com/2026/amazon-lays-off-121-workers-across-corporate-and-fulfillment-jobs-in-washington-state/</t>
  </si>
  <si>
    <t>Sep 2026</t>
  </si>
  <si>
    <t>Sep 17</t>
  </si>
  <si>
    <t>supplychaindive.com</t>
  </si>
  <si>
    <t>https://www.supplychaindive.com/news/amazon-to-temporarily-close-florida-facility-lay-off-nearly-500/825555/</t>
  </si>
  <si>
    <t>Amdocs</t>
  </si>
  <si>
    <t>May 28</t>
  </si>
  <si>
    <t>https://www.calcalistech.com/ctechnews/article/u4qmp07cv</t>
  </si>
  <si>
    <t>Amentum</t>
  </si>
  <si>
    <t>Sep 25</t>
  </si>
  <si>
    <t>4 - 50K-100K</t>
  </si>
  <si>
    <t>talkoftitusville.com</t>
  </si>
  <si>
    <t>https://talkoftitusville.com/2026/09/28/nasa-to-insource-operations-resulting-in-70-layoffs-at-kennedy-space-center/</t>
  </si>
  <si>
    <t>Amy's Kitchen</t>
  </si>
  <si>
    <t>pressdemocrat.com</t>
  </si>
  <si>
    <t>https://www.pressdemocrat.com/2026/09/17/amys-kitchen-santa-rosa-sonoma-county-jobs-plant-closure/</t>
  </si>
  <si>
    <t>Anchor Glass</t>
  </si>
  <si>
    <t>Aug 18</t>
  </si>
  <si>
    <t>packagingdive.com</t>
  </si>
  <si>
    <t>https://www.packagingdive.com/news/anchor-glass-permanent-closure-warner-robins-georgia/828221/</t>
  </si>
  <si>
    <t>Angi</t>
  </si>
  <si>
    <t>cheapism.com</t>
  </si>
  <si>
    <t>https://www.cheapism.com/2026-layoffs-major-american-companies/</t>
  </si>
  <si>
    <t>Apple</t>
  </si>
  <si>
    <t>Aug 21</t>
  </si>
  <si>
    <t>techcrunch.com</t>
  </si>
  <si>
    <t>https://techcrunch.com/2026/08/21/apple-is-reportedly-cutting-hundreds-of-jobs-from-siri-vision-pro-teams/</t>
  </si>
  <si>
    <t>Aramark</t>
  </si>
  <si>
    <t>Oct 2026</t>
  </si>
  <si>
    <t>Oct 1</t>
  </si>
  <si>
    <t>thebanner.com</t>
  </si>
  <si>
    <t>https://www.thebanner.com/culture/food-drink/guinness-brewery-closing-NY722XELBVDKZORLQKNUJCUGSA/</t>
  </si>
  <si>
    <t>Arctic Wolf</t>
  </si>
  <si>
    <t>May 6</t>
  </si>
  <si>
    <t>theregister.com</t>
  </si>
  <si>
    <t>https://www.theregister.com/ai-and-ml/2026/05/06/arctic-wolf-cuts-250-jobs-in-ai-push/5231213</t>
  </si>
  <si>
    <t>Arrow Fastener</t>
  </si>
  <si>
    <t>Feb 2026</t>
  </si>
  <si>
    <t>patch.com</t>
  </si>
  <si>
    <t>https://patch.com/new-jersey/fairlawn-saddlebrook/layoffs-loom-century-old-bergen-county-nj-company</t>
  </si>
  <si>
    <t>ArsenalBio</t>
  </si>
  <si>
    <t>biospace.com</t>
  </si>
  <si>
    <t>https://www.biospace.com/business/arsenalbio-sacrifices-majority-of-staff-in-pivot-to-in-vivo-car-t</t>
  </si>
  <si>
    <t>Artlist</t>
  </si>
  <si>
    <t>Jun 2026</t>
  </si>
  <si>
    <t>Jun 16</t>
  </si>
  <si>
    <t>https://www.calcalistech.com/ctechnews/article/xrqudqiq6</t>
  </si>
  <si>
    <t>AssistRx</t>
  </si>
  <si>
    <t>Oct 2</t>
  </si>
  <si>
    <t>wftv.com</t>
  </si>
  <si>
    <t>https://www.wftv.com/news/local/more-than-100-jobs-are-being-cut-2-orlando-companies-announce-layoffs/C6DCBVC3RFFLBHOQOQ4BW2PAYQ/</t>
  </si>
  <si>
    <t>Associated Press</t>
  </si>
  <si>
    <t>May 15</t>
  </si>
  <si>
    <t>apnews.com</t>
  </si>
  <si>
    <t>https://apnews.com/article/news-industry-ap-layoffs-3906d6f2c16621746515adc51a04b829</t>
  </si>
  <si>
    <t>Atlassian</t>
  </si>
  <si>
    <t>Mar 11</t>
  </si>
  <si>
    <t>bloomberg.com</t>
  </si>
  <si>
    <t>https://www.bloomberg.com/news/articles/2026-03-11/atlassian-team-ceo-announces-layoffs-of-1-600-citing-ai-shift</t>
  </si>
  <si>
    <t>Autodesk</t>
  </si>
  <si>
    <t>Jan 22</t>
  </si>
  <si>
    <t>Company filing (SEC)</t>
  </si>
  <si>
    <t>sec.gov</t>
  </si>
  <si>
    <t>https://www.sec.gov/Archives/edgar/data/769397/000076939726000006/adsk-20260122.htm</t>
  </si>
  <si>
    <t>Autolus Therapeutics</t>
  </si>
  <si>
    <t>Apr 30</t>
  </si>
  <si>
    <t>https://www.biospace.com/biospace-layoff-tracker</t>
  </si>
  <si>
    <t>BBC</t>
  </si>
  <si>
    <t>Apr 15</t>
  </si>
  <si>
    <t>variety.com</t>
  </si>
  <si>
    <t>https://variety.com/2026/tv/news/bbc-to-cut-up-to-2000-jobs-major-cost-saving-move-1236722352/</t>
  </si>
  <si>
    <t>Sep 28</t>
  </si>
  <si>
    <t>thedesk.net</t>
  </si>
  <si>
    <t>https://thedesk.net/2026/09/bbc-media-tech-cuts-110-jobs-iplayer-sounds/</t>
  </si>
  <si>
    <t>pressgazette.co.uk</t>
  </si>
  <si>
    <t>https://pressgazette.co.uk/news/bbc-to-cut-local-radio-and-regional-tv-news-with-90-jobs-at-risk/</t>
  </si>
  <si>
    <t>BILL Holdings</t>
  </si>
  <si>
    <t>May 7</t>
  </si>
  <si>
    <t>stocktitan.net</t>
  </si>
  <si>
    <t>https://www.stocktitan.net/sec-filings/BILL/8-k-bill-holdings-inc-reports-material-event-a30cd671905e.html</t>
  </si>
  <si>
    <t>BMW</t>
  </si>
  <si>
    <t>Jul 29</t>
  </si>
  <si>
    <t>euronews.com</t>
  </si>
  <si>
    <t>https://www.euronews.com/business/2026/07/29/bmw-plans-to-cut-around-8000-jobs-in-major-cost-saving-drive</t>
  </si>
  <si>
    <t>Banker Steel</t>
  </si>
  <si>
    <t>Sep 16</t>
  </si>
  <si>
    <t>communitynews.org</t>
  </si>
  <si>
    <t>https://communitynews.org/sections/business-cns/two-central-jersey-employers-cut-more-than-600-jobs-while-relocating/</t>
  </si>
  <si>
    <t>Barrette Outdoor Living</t>
  </si>
  <si>
    <t>Sep 15</t>
  </si>
  <si>
    <t>943thepoint.com</t>
  </si>
  <si>
    <t>https://943thepoint.com/ixp/397/p/barrette-outdoor-living-layoffs/</t>
  </si>
  <si>
    <t>Bell Canada</t>
  </si>
  <si>
    <t>Jun 15</t>
  </si>
  <si>
    <t>ctvnews.ca</t>
  </si>
  <si>
    <t>https://www.ctvnews.ca/business/article/bell-cutting-nearly-700-jobs-amid-ongoing-organizational-changes-bell-media-not-impacted/</t>
  </si>
  <si>
    <t>Bicycle Therapeutics</t>
  </si>
  <si>
    <t>Mar 17</t>
  </si>
  <si>
    <t>endpoints.news</t>
  </si>
  <si>
    <t>https://endpoints.news/bicycle-to-cut-30-of-staff-after-cancer-drugs-regulatory-setback/</t>
  </si>
  <si>
    <t>BigID</t>
  </si>
  <si>
    <t>May 27</t>
  </si>
  <si>
    <t>en.globes.co.il</t>
  </si>
  <si>
    <t>https://en.globes.co.il/en/article-ai-forces-israeli-unicorn-bigid-to-lay-off-150-1001544054</t>
  </si>
  <si>
    <t>Bilfinger</t>
  </si>
  <si>
    <t>marketscreener.com</t>
  </si>
  <si>
    <t>https://www.marketscreener.com/news/bilfinger-abandons-catch-up-push-and-cuts-1-500-jobs-ce785bd3d888f026</t>
  </si>
  <si>
    <t>BioMarin Pharmaceutical</t>
  </si>
  <si>
    <t>Sep 24</t>
  </si>
  <si>
    <t>BioNTech</t>
  </si>
  <si>
    <t>May 5</t>
  </si>
  <si>
    <t>https://www.bloomberg.com/news/articles/2026-05-05/biontech-to-cut-as-many-as-1-860-jobs-as-covid-jab-sales-drop</t>
  </si>
  <si>
    <t>BitGo</t>
  </si>
  <si>
    <t>Jun 25</t>
  </si>
  <si>
    <t>finance.yahoo.com</t>
  </si>
  <si>
    <t>https://finance.yahoo.com/markets/crypto/articles/bitgo-cuts-15-workforce-focus-230517195.html</t>
  </si>
  <si>
    <t>Bitcoin Suisse</t>
  </si>
  <si>
    <t>Sep 11</t>
  </si>
  <si>
    <t>swissinfo.ch</t>
  </si>
  <si>
    <t>https://www.swissinfo.ch/ger/bitcoin-suisse-streicht-in-der-schweiz-bis-zu-60-stellen/92042606</t>
  </si>
  <si>
    <t>BlackRock</t>
  </si>
  <si>
    <t>https://finance.yahoo.com/news/layoffs-surge-2026-10-major-174540901.html</t>
  </si>
  <si>
    <t>uk.finance.yahoo.com</t>
  </si>
  <si>
    <t>https://uk.finance.yahoo.com/news/blackrock-sheds-another-200-jobs-230347094.html</t>
  </si>
  <si>
    <t>Block</t>
  </si>
  <si>
    <t>Feb 26</t>
  </si>
  <si>
    <t>cnn.com</t>
  </si>
  <si>
    <t>https://www.cnn.com/2026/02/26/business/block-layoffs-ai-jack-dorsey</t>
  </si>
  <si>
    <t>Blue Diamond Growers</t>
  </si>
  <si>
    <t>Blue Shield of California</t>
  </si>
  <si>
    <t>https://edd.ca.gov/en/jobs_and_training/layoff_services_warn</t>
  </si>
  <si>
    <t>Bolt</t>
  </si>
  <si>
    <t>Apr 5</t>
  </si>
  <si>
    <t>pymnts.com</t>
  </si>
  <si>
    <t>https://www.pymnts.com/digital-payments/2026/bolt-cuts-third-of-staff-amid-new-ai-focus/</t>
  </si>
  <si>
    <t>Booksy</t>
  </si>
  <si>
    <t>Sep 10</t>
  </si>
  <si>
    <t>bankier.pl</t>
  </si>
  <si>
    <t>https://www.bankier.pl/wiadomosc/AI-zabiera-etaty-w-polskim-gigancie-Booksy-zwolni-200-osob-9195497.html</t>
  </si>
  <si>
    <t>Bosch</t>
  </si>
  <si>
    <t>Multi-year plan</t>
  </si>
  <si>
    <t>2025-30 program</t>
  </si>
  <si>
    <t>2025-30</t>
  </si>
  <si>
    <t>electrive.com</t>
  </si>
  <si>
    <t>https://www.electrive.com/2025/09/25/bosch-plans-to-cut-another-13000-jobs-in-its-mobility-division/</t>
  </si>
  <si>
    <t>Bossong Hosiery Mills</t>
  </si>
  <si>
    <t>Sep 9</t>
  </si>
  <si>
    <t>5 - Shutdown</t>
  </si>
  <si>
    <t>wxii12.com</t>
  </si>
  <si>
    <t>https://www.wxii12.com/article/north-carolina-hosiery-company-closes-asheboro-layoffs/73763446</t>
  </si>
  <si>
    <t>BrewDog</t>
  </si>
  <si>
    <t>Mar 3</t>
  </si>
  <si>
    <t>thespiritsbusiness.com</t>
  </si>
  <si>
    <t>https://www.thespiritsbusiness.com/2026/03/brewdog-buyout-484-jobs-lost-as-38-bars-close/</t>
  </si>
  <si>
    <t>Bristol Myers Squibb</t>
  </si>
  <si>
    <t>njbiz.com</t>
  </si>
  <si>
    <t>https://njbiz.com/bristol-myers-squibb-nj-layoffs-cost-cutting/</t>
  </si>
  <si>
    <t>Apr 22</t>
  </si>
  <si>
    <t>roi-nj.com</t>
  </si>
  <si>
    <t>https://www.roi-nj.com/2026/04/22/healthcare/bristol-myers-squibb-files-warn-notice-for-206-jobs/</t>
  </si>
  <si>
    <t>Sep 22</t>
  </si>
  <si>
    <t>nj.gov</t>
  </si>
  <si>
    <t>https://www.nj.gov/labor/assets/PDFs/WARN/2026_WARN_Notice_Archive.pdf</t>
  </si>
  <si>
    <t>British American Tobacco</t>
  </si>
  <si>
    <t>Jun 29</t>
  </si>
  <si>
    <t>bnnbloomberg.ca</t>
  </si>
  <si>
    <t>https://www.bnnbloomberg.ca/business/international/2026/06/29/british-american-tobacco-cost-cutting-hits-9000-roles/</t>
  </si>
  <si>
    <t>Build a Rocket Boy</t>
  </si>
  <si>
    <t>gamespot.com</t>
  </si>
  <si>
    <t>https://www.gamespot.com/articles/mindseye-dev-reportedly-laid-off-170-of-250-employees/1100-6539796/</t>
  </si>
  <si>
    <t>Bumble Bee Foods</t>
  </si>
  <si>
    <t>Aug 11</t>
  </si>
  <si>
    <t>https://edd.ca.gov/en/jobs_and_training/Layoff_Services_WARN</t>
  </si>
  <si>
    <t>Bungie</t>
  </si>
  <si>
    <t>windowscentral.com</t>
  </si>
  <si>
    <t>https://www.windowscentral.com/gaming/destiny-2-dev-bungie-hit-with-major-layoffs-across-most-of-the-destiny-team-and-marathon-says-sony-ceo</t>
  </si>
  <si>
    <t>BuzzFeed</t>
  </si>
  <si>
    <t>Jul 27</t>
  </si>
  <si>
    <t>https://variety.com/2026/digital/news/buzzfeed-layoffs-employees-byron-allen-acquires-company-1236822122/</t>
  </si>
  <si>
    <t>CBS News</t>
  </si>
  <si>
    <t>Mar 20</t>
  </si>
  <si>
    <t>deadline.com</t>
  </si>
  <si>
    <t>https://deadline.com/2026/03/cbs-news-layoffs-bari-weiss-1236761230/</t>
  </si>
  <si>
    <t>CJ Logistics America</t>
  </si>
  <si>
    <t>Aug 17</t>
  </si>
  <si>
    <t>wfmz.com</t>
  </si>
  <si>
    <t>https://www.wfmz.com/news/area/lehighvalley/lehigh-county/western-lehigh-county/logistics-company-to-close-its-largest-lehigh-valley-warehouse-dozens-of-jobs-impacted/article_851c6023-dc67-4ee7-a9c6-9d978e0f788d.html</t>
  </si>
  <si>
    <t>Sep 2</t>
  </si>
  <si>
    <t>tristatealert.com</t>
  </si>
  <si>
    <t>https://www.tristatealert.com/newville-logistics-company-closing-shedding-more-than-50-jobs</t>
  </si>
  <si>
    <t>CNN</t>
  </si>
  <si>
    <t>Mar 25</t>
  </si>
  <si>
    <t>newsmax.com</t>
  </si>
  <si>
    <t>https://www.newsmax.com/newsfront/cnn-layoffs-paramount/2026/03/24/id/1250576/</t>
  </si>
  <si>
    <t>Cambium Networks</t>
  </si>
  <si>
    <t>https://www.sec.gov/Archives/edgar/data/1738177/000119312526389901/cmbmf-20260911.htm</t>
  </si>
  <si>
    <t>Campbell's</t>
  </si>
  <si>
    <t>May 1</t>
  </si>
  <si>
    <t>wfaa.com</t>
  </si>
  <si>
    <t>https://www.wfaa.com/article/news/local/campbells-soup-factory-layoffs-paris-texas/287-ed71fa56-6a39-49f6-8921-db61b9d006f16</t>
  </si>
  <si>
    <t>Sep 3</t>
  </si>
  <si>
    <t>inquirer.com</t>
  </si>
  <si>
    <t>https://www.inquirer.com/business/campbells-layoffs-camden-nj-20260903.html</t>
  </si>
  <si>
    <t>Capital One</t>
  </si>
  <si>
    <t>chicago.suntimes.com</t>
  </si>
  <si>
    <t>https://chicago.suntimes.com/work/2026/03/05/capital-one-laying-off-warn-1700-employees-riverwoods-discover</t>
  </si>
  <si>
    <t>Carlex Glass America</t>
  </si>
  <si>
    <t>Jul 7</t>
  </si>
  <si>
    <t>carlex.com</t>
  </si>
  <si>
    <t>https://www.carlex.com/news/carlex-glass-america-llc-announces-planned-closure-of-vonore-manufacturing-facility/</t>
  </si>
  <si>
    <t>Carry-On Trailer</t>
  </si>
  <si>
    <t>Sep 30</t>
  </si>
  <si>
    <t>virginiaworks.gov</t>
  </si>
  <si>
    <t>https://virginiaworks.gov/warn-notice/40669/</t>
  </si>
  <si>
    <t>Cars.com</t>
  </si>
  <si>
    <t>Apr 9</t>
  </si>
  <si>
    <t>https://www.sec.gov/Archives/edgar/data/1683606/000119312526149752/cars-20260406.htm</t>
  </si>
  <si>
    <t>Cboe Global Markets</t>
  </si>
  <si>
    <t>qz.com</t>
  </si>
  <si>
    <t>https://qz.com/cboe-layoffs-workforce-reduction-core-businesses-050126</t>
  </si>
  <si>
    <t>Cellares</t>
  </si>
  <si>
    <t>biopharmadive.com</t>
  </si>
  <si>
    <t>https://www.biopharmadive.com/news/cellares-layoffs-cell-therapy-manufacturing/828588/</t>
  </si>
  <si>
    <t>Sep 1</t>
  </si>
  <si>
    <t>Centrica</t>
  </si>
  <si>
    <t>Jul 23</t>
  </si>
  <si>
    <t>lbc.co.uk</t>
  </si>
  <si>
    <t>https://www.lbc.co.uk/article/a793727ac56140f2be9069d8be0463b2-5Hjdf4c_2/</t>
  </si>
  <si>
    <t>Channel 4</t>
  </si>
  <si>
    <t>https://finance.yahoo.com/news/channel-4-cut-340-jobs-120955840.html</t>
  </si>
  <si>
    <t>ChargePoint</t>
  </si>
  <si>
    <t>https://www.sec.gov/Archives/edgar/data/1777393/000177739326000057/chpt-20260728.htm</t>
  </si>
  <si>
    <t>Charter Next Generation</t>
  </si>
  <si>
    <t>twc.texas.gov</t>
  </si>
  <si>
    <t>https://www.twc.texas.gov/data-reports/warn-notice</t>
  </si>
  <si>
    <t>Chevron</t>
  </si>
  <si>
    <t>Jul 1</t>
  </si>
  <si>
    <t>https://edd.ca.gov/en/jobs_and_training/layoff_services_warn/</t>
  </si>
  <si>
    <t>Chime</t>
  </si>
  <si>
    <t>Jul 31</t>
  </si>
  <si>
    <t>https://www.pymnts.com/news/banking/2026/chime-cuts-10percent-of-workforce-in-ai-pivot/</t>
  </si>
  <si>
    <t>Cigna Evernorth</t>
  </si>
  <si>
    <t>https://patch.com/new-jersey/morristown/dozens-workers-be-laid-morris-plains-healthcare-company</t>
  </si>
  <si>
    <t>Cisco</t>
  </si>
  <si>
    <t>May 13</t>
  </si>
  <si>
    <t>blogs.cisco.com</t>
  </si>
  <si>
    <t>https://blogs.cisco.com/news/our-path-forward</t>
  </si>
  <si>
    <t>Citigroup</t>
  </si>
  <si>
    <t>2025-26 program</t>
  </si>
  <si>
    <t>2025-26</t>
  </si>
  <si>
    <t>newsnationnow.com</t>
  </si>
  <si>
    <t>https://www.newsnationnow.com/business/major-employers-job-cuts-2026/</t>
  </si>
  <si>
    <t>City of Hope</t>
  </si>
  <si>
    <t>Sep 23</t>
  </si>
  <si>
    <t>fiercehealthcare.com</t>
  </si>
  <si>
    <t>https://www.fiercehealthcare.com/finance/fierce-healthcare-layoff-tracker-2026-job-cuts-eliminations-health-systems-hospitals</t>
  </si>
  <si>
    <t>Claire's</t>
  </si>
  <si>
    <t>Apr 27</t>
  </si>
  <si>
    <t>https://finance.yahoo.com/economy/policy/articles/claires-closes-154-stores-loss-153148641.html</t>
  </si>
  <si>
    <t>ClickUp</t>
  </si>
  <si>
    <t>May 21</t>
  </si>
  <si>
    <t>fortune.com</t>
  </si>
  <si>
    <t>https://fortune.com/2026/05/18/ai-agent-to-human-ratio-clickup/</t>
  </si>
  <si>
    <t>Close Brothers</t>
  </si>
  <si>
    <t>Mar 23</t>
  </si>
  <si>
    <t>cityam.com</t>
  </si>
  <si>
    <t>https://www.cityam.com/close-brothers-to-axe-fifth-of-jobs-after-motor-finance-wipeout-warning/</t>
  </si>
  <si>
    <t>Cloudflare</t>
  </si>
  <si>
    <t>blog.cloudflare.com</t>
  </si>
  <si>
    <t>https://blog.cloudflare.com/building-for-the-future/</t>
  </si>
  <si>
    <t>Cognizant</t>
  </si>
  <si>
    <t>Apr 29</t>
  </si>
  <si>
    <t>business-standard.com</t>
  </si>
  <si>
    <t>https://www.business-standard.com/companies/news/cognizant-may-cut-7-000-15-000-jobs-as-part-of-its-project-leap-programme-126043001254_1.html</t>
  </si>
  <si>
    <t>Coinbase</t>
  </si>
  <si>
    <t>https://www.cnbc.com/2026/05/05/coinbase-cuts-headcount-by-14percent-citing-ai-acceleration-the-shares-are-gaining.html</t>
  </si>
  <si>
    <t>Commerzbank</t>
  </si>
  <si>
    <t>May 8</t>
  </si>
  <si>
    <t>https://www.bloomberg.com/news/articles/2026-05-08/commerzbank-raises-outlook-as-orlopp-steps-up-unicredit-defense</t>
  </si>
  <si>
    <t>Compass</t>
  </si>
  <si>
    <t>Mar 6</t>
  </si>
  <si>
    <t>trueup.io</t>
  </si>
  <si>
    <t>https://www.trueup.io/layoffs</t>
  </si>
  <si>
    <t>Conifer Health (Tenet)</t>
  </si>
  <si>
    <t>Sep 8</t>
  </si>
  <si>
    <t>https://www.fiercehealthcare.com/providers/tenet-laying-1000-conifer-employees-amid-commonspirit-contract-breakup</t>
  </si>
  <si>
    <t>CorroHealth</t>
  </si>
  <si>
    <t>Jul 3</t>
  </si>
  <si>
    <t>peoplematters.in</t>
  </si>
  <si>
    <t>https://www.peoplematters.in/news/strategic-hr/corrohealths-800-layoffs-snowball-into-kerala-centre-row-over-labour-laws-50719</t>
  </si>
  <si>
    <t>Corteva</t>
  </si>
  <si>
    <t>Jun 12</t>
  </si>
  <si>
    <t>https://www.sec.gov/Archives/edgar/data/1755672/000175567226000020/ctva-20231108.htm</t>
  </si>
  <si>
    <t>Corus Entertainment</t>
  </si>
  <si>
    <t>https://www.bnnbloomberg.ca/business/company-news/2026/07/16/corus-to-centralize-calgary-edmonton-productions-of-global-news-some-jobs-to-be-cut/</t>
  </si>
  <si>
    <t>Coursera</t>
  </si>
  <si>
    <t>Jul 6</t>
  </si>
  <si>
    <t>https://www.sec.gov/Archives/edgar/data/1651562/000165156226000055/cour-20260706.htm</t>
  </si>
  <si>
    <t>Crothall / Morrison Healthcare</t>
  </si>
  <si>
    <t>pa.gov</t>
  </si>
  <si>
    <t>https://www.pa.gov/agencies/dli/programs-services/workforce-development-home/warn-requirements/warn-notices</t>
  </si>
  <si>
    <t>virginiabusiness.com</t>
  </si>
  <si>
    <t>https://virginiabusiness.com/crothall-healthcare-vcu-health-layoffs/</t>
  </si>
  <si>
    <t>CrowdStrike</t>
  </si>
  <si>
    <t>https://fortune.com/2026/03/07/is-ai-taking-jobs-payrolls-drop-narrative-outlook/</t>
  </si>
  <si>
    <t>Crypto.com</t>
  </si>
  <si>
    <t>Mar 19</t>
  </si>
  <si>
    <t>https://www.bloomberg.com/news/articles/2026-03-19/crypto-com-to-lay-off-12-of-staff-in-ai-overhaul</t>
  </si>
  <si>
    <t>Cubic3</t>
  </si>
  <si>
    <t>thejournal.ie</t>
  </si>
  <si>
    <t>https://www.thejournal.ie/cubic3-layoffs-ireland-7144462-Aug2026/</t>
  </si>
  <si>
    <t>DSV</t>
  </si>
  <si>
    <t>yahoo.com</t>
  </si>
  <si>
    <t>https://www.yahoo.com/news/articles/st-louis-logistics-facility-terminate-174213838.html</t>
  </si>
  <si>
    <t>Daily Wire</t>
  </si>
  <si>
    <t>x.com</t>
  </si>
  <si>
    <t>https://x.com/cameron_arcand</t>
  </si>
  <si>
    <t>Daimler Truck North America</t>
  </si>
  <si>
    <t>opb.org</t>
  </si>
  <si>
    <t>https://www.opb.org/article/2026/07/29/portland-daimler-truck-manufacturing-moves-carolinas/</t>
  </si>
  <si>
    <t>Dartmouth Health</t>
  </si>
  <si>
    <t>nhpr.org</t>
  </si>
  <si>
    <t>https://www.nhpr.org/nh-news/2026-09-16/dartmouth-dhmc-layoff-124-employees-cuts-303-positions-nh-vt</t>
  </si>
  <si>
    <t>DeepL</t>
  </si>
  <si>
    <t>https://www.bloomberg.com/news/articles/2026-05-07/google-translate-rival-deepl-announces-plans-to-cut-25-of-staff</t>
  </si>
  <si>
    <t>Dell</t>
  </si>
  <si>
    <t>Mar 16</t>
  </si>
  <si>
    <t>reuters.com</t>
  </si>
  <si>
    <t>https://www.reuters.com/business/world-at-work/dell-workforce-drops-10-fiscal-2026-filing-shows-2026-03-16/</t>
  </si>
  <si>
    <t>Diageo</t>
  </si>
  <si>
    <t>https://uk.finance.yahoo.com/news/diageo-sheds-nearly-2-000-114842558.html</t>
  </si>
  <si>
    <t>Disc Medicine</t>
  </si>
  <si>
    <t>Feb 27</t>
  </si>
  <si>
    <t>Disney</t>
  </si>
  <si>
    <t>businesstoday.in</t>
  </si>
  <si>
    <t>https://www.businesstoday.in/latest/corporate/story/disney-plans-up-to-1000-layoffs-under-new-ceo-josh-damaro-524945-2026-04-09</t>
  </si>
  <si>
    <t>Jul 21</t>
  </si>
  <si>
    <t>hollywoodreporter.com</t>
  </si>
  <si>
    <t>https://www.hollywoodreporter.com/business/business-news/new-disney-layoffs-pixar-streamlining-1236652502/</t>
  </si>
  <si>
    <t>Sep 29</t>
  </si>
  <si>
    <t>https://finance.yahoo.com/markets/stocks/articles/disney-layoffs-2026-300-jobs-180653737.html</t>
  </si>
  <si>
    <t>Domo</t>
  </si>
  <si>
    <t>sltrib.com</t>
  </si>
  <si>
    <t>https://www.sltrib.com/news/2026/10/01/domo-lays-off-175-utah-workers/</t>
  </si>
  <si>
    <t>Don't Nod</t>
  </si>
  <si>
    <t>Sep 4</t>
  </si>
  <si>
    <t>worthplaying.com</t>
  </si>
  <si>
    <t>https://www.worthplaying.com/article/2026/9/4/news/150912-dont-nods-organizational-transformation-plan-results-in-90-layoffs/</t>
  </si>
  <si>
    <t>Dow Chemical</t>
  </si>
  <si>
    <t>Jan 29</t>
  </si>
  <si>
    <t>livenowfox.com</t>
  </si>
  <si>
    <t>https://www.livenowfox.com/news/2026-layoffs-list-companies-cutting-jobs-year</t>
  </si>
  <si>
    <t>Dürr CTS</t>
  </si>
  <si>
    <t>Aug 13</t>
  </si>
  <si>
    <t>wtaq.com</t>
  </si>
  <si>
    <t>https://wtaq.com/2026/08/17/75-workers-at-durr-cts-plant-in-de-pere-to-be-laid-off-starting-in-october/</t>
  </si>
  <si>
    <t>Eagle Rock Distributing</t>
  </si>
  <si>
    <t>Apr 2</t>
  </si>
  <si>
    <t>bizwest.com</t>
  </si>
  <si>
    <t>https://bizwest.com/2026/04/03/beverage-distributor-to-lay-off-526-workers-including-139-in-loveland/</t>
  </si>
  <si>
    <t>Educational Testing Service</t>
  </si>
  <si>
    <t>Sep 13</t>
  </si>
  <si>
    <t>Elastic</t>
  </si>
  <si>
    <t>Jun 24</t>
  </si>
  <si>
    <t>bizjournals.com</t>
  </si>
  <si>
    <t>https://www.bizjournals.com/sanfrancisco/news/2026/06/24/elastic-layoffs-ai-search.html</t>
  </si>
  <si>
    <t>Electrolux</t>
  </si>
  <si>
    <t>May 12</t>
  </si>
  <si>
    <t>https://www.bloomberg.com/news/articles/2026-05-12/italian-government-convenes-talks-on-planned-electrolux-job-cuts</t>
  </si>
  <si>
    <t>Electronic Arts</t>
  </si>
  <si>
    <t>Mar 10</t>
  </si>
  <si>
    <t>insider-gaming.com</t>
  </si>
  <si>
    <t>https://insider-gaming.com/ea-makes-layoffs-across-across-battlefield-studios/</t>
  </si>
  <si>
    <t>Elementor</t>
  </si>
  <si>
    <t>https://www.calcalistech.com/ctechnews/article/sycgn6yxze</t>
  </si>
  <si>
    <t>Elevance Health</t>
  </si>
  <si>
    <t>laworks.net</t>
  </si>
  <si>
    <t>https://www.laworks.net/Downloads/WFD/WarnNotices2026.pdf</t>
  </si>
  <si>
    <t>Emergent BioSolutions</t>
  </si>
  <si>
    <t>Aug 5</t>
  </si>
  <si>
    <t>theglobeandmail.com</t>
  </si>
  <si>
    <t>https://www.theglobeandmail.com/investing/markets/stocks/EBS/pressreleases/3704560/emergent-biosolutions-announces-restructuring-amid-turnaround-efforts/</t>
  </si>
  <si>
    <t>Entain</t>
  </si>
  <si>
    <t>next.io</t>
  </si>
  <si>
    <t>https://next.io/news/people/entain-cfo-efficiency-drive-500-job-cuts/</t>
  </si>
  <si>
    <t>Envato</t>
  </si>
  <si>
    <t>Epic Games</t>
  </si>
  <si>
    <t>Mar 24</t>
  </si>
  <si>
    <t>kotaku.com</t>
  </si>
  <si>
    <t>https://kotaku.com/epic-games-laying-off-over-1000-employees-blames-drop-in-fortnite-engagement-2000681459</t>
  </si>
  <si>
    <t>Ericsson</t>
  </si>
  <si>
    <t>Jan 15</t>
  </si>
  <si>
    <t>https://www.bloomberg.com/news/articles/2026-01-15/ericsson-plans-to-ax-1-600-jobs-in-sweden-in-cost-cutting-push</t>
  </si>
  <si>
    <t>Essendant</t>
  </si>
  <si>
    <t>Aug 4</t>
  </si>
  <si>
    <t>distributionstrategy.com</t>
  </si>
  <si>
    <t>https://distributionstrategy.com/2026/08/essendant-layoffs-top-1100-across-five-states-as-restructuring-deepens/</t>
  </si>
  <si>
    <t>Ethereum Foundation</t>
  </si>
  <si>
    <t>Jun 23</t>
  </si>
  <si>
    <t>blog.ethereum.org</t>
  </si>
  <si>
    <t>https://blog.ethereum.org/2026/06/23/ef-structure</t>
  </si>
  <si>
    <t>Etsy</t>
  </si>
  <si>
    <t>https://www.cnbc.com/2026/08/05/etsy-layoffs-q2-earnings.html</t>
  </si>
  <si>
    <t>Evonik</t>
  </si>
  <si>
    <t>Jun 18</t>
  </si>
  <si>
    <t>https://www.reuters.com/business/evonik-cut-3200-jobs-worldwide-by-2029-it-extends-restructuring-programme-2026-06-18/</t>
  </si>
  <si>
    <t>Evotec</t>
  </si>
  <si>
    <t>Expedia Group</t>
  </si>
  <si>
    <t>https://www.geekwire.com/2026/expedia-group-laying-off-58-employees-in-washington-state-in-latest-cuts-at-travel-giant/</t>
  </si>
  <si>
    <t>Expeditors International</t>
  </si>
  <si>
    <t>Jun 9</t>
  </si>
  <si>
    <t>https://www.geekwire.com/2026/expeditors-cuts-230-tech-jobs-in-seattle-region-ending-decades-long-policy-against-layoffs/</t>
  </si>
  <si>
    <t>FalconX</t>
  </si>
  <si>
    <t>Aug 3</t>
  </si>
  <si>
    <t>cryptotimes.io</t>
  </si>
  <si>
    <t>https://www.cryptotimes.io/2026/08/03/falconx-reportedly-cuts-10-of-workforce-in-restructuring-effort/</t>
  </si>
  <si>
    <t>Family Dollar</t>
  </si>
  <si>
    <t>Mar 18</t>
  </si>
  <si>
    <t>wfae.org</t>
  </si>
  <si>
    <t>https://www.wfae.org/business/2026-03-18/family-dollar-to-shut-down-matthews-distribution-center-cutting-more-than-370-jobs</t>
  </si>
  <si>
    <t>FanDuel</t>
  </si>
  <si>
    <t>Jun 6</t>
  </si>
  <si>
    <t>awfulannouncing.com</t>
  </si>
  <si>
    <t>https://awfulannouncing.com/fanduel/layoffs-several-hundred-employees.html</t>
  </si>
  <si>
    <t>FedEx</t>
  </si>
  <si>
    <t>recruitingnewsnetwork.com</t>
  </si>
  <si>
    <t>https://www.recruitingnewsnetwork.com/posts/major-companies-entering-2026-with-mass-layoffs-already-underway</t>
  </si>
  <si>
    <t>Aug 15</t>
  </si>
  <si>
    <t>https://finance.yahoo.com/small-business/articles/fedex-closes-more-u-locations-160300304.html</t>
  </si>
  <si>
    <t>Fidelity Investments</t>
  </si>
  <si>
    <t>ts2.tech</t>
  </si>
  <si>
    <t>https://ts2.tech/en/fidelity-layoffs-2026-800-jobs-cut-as-boston-firm-rebuilds-tech-teams-and-hires-thousands/</t>
  </si>
  <si>
    <t>Fifth Third Bank</t>
  </si>
  <si>
    <t>bankingdive.com</t>
  </si>
  <si>
    <t>https://www.bankingdive.com/news/fifth-third-comerica-layoffs-job-cuts-ceo-spence-earnings/810003/</t>
  </si>
  <si>
    <t>Fiserv</t>
  </si>
  <si>
    <t>https://finance.yahoo.com/markets/stocks/articles/major-n-j-financial-services-180050715.html</t>
  </si>
  <si>
    <t>Flipkart</t>
  </si>
  <si>
    <t>Flying Food Group</t>
  </si>
  <si>
    <t>Aug 14</t>
  </si>
  <si>
    <t>Fresh Venture Foods</t>
  </si>
  <si>
    <t>warntracker.com</t>
  </si>
  <si>
    <t>https://www.warntracker.com/company/fresh-venture-foods</t>
  </si>
  <si>
    <t>Freshworks</t>
  </si>
  <si>
    <t>globenewswire.com</t>
  </si>
  <si>
    <t>https://www.globenewswire.com/news-release/2026/05/05/3288271/0/en/freshworks-reports-first-quarter-2026-results.html</t>
  </si>
  <si>
    <t>Frugal Fannie's</t>
  </si>
  <si>
    <t>https://www.yahoo.com/news/articles/longtime-mass-discount-store-laying-141746709.html</t>
  </si>
  <si>
    <t>Fujitsu UK</t>
  </si>
  <si>
    <t>computerweekly.com</t>
  </si>
  <si>
    <t>https://www.computerweekly.com/news/366641092/Post-Office-scandal-supplier-Fujitsu-to-cut-nearly-10-of-UK-workforce</t>
  </si>
  <si>
    <t>Full Sail University</t>
  </si>
  <si>
    <t>https://www.wftv.com/news/local/full-sail-university-eliminates-180-positions-organizational-realignment/7PCAAXWJPZF6HHS4X3IU34ZT74/</t>
  </si>
  <si>
    <t>GSK</t>
  </si>
  <si>
    <t>https://www.biospace.com/business/gsk-lays-off-650-staffers-amid-closure-of-german-vaccine-manufacturing-site</t>
  </si>
  <si>
    <t>GXO Logistics</t>
  </si>
  <si>
    <t>Jan 31</t>
  </si>
  <si>
    <t>actionnews5.com</t>
  </si>
  <si>
    <t>https://www.actionnews5.com/2026/04/03/220-workers-were-laid-off-amid-gxo-closure-southaven/</t>
  </si>
  <si>
    <t>Gambling.com Group</t>
  </si>
  <si>
    <t>frontofficesports.com</t>
  </si>
  <si>
    <t>https://frontofficesports.com/gambling-layoffs-pile-up-as-sports-betting-industry-recalibrates/</t>
  </si>
  <si>
    <t>Gemini</t>
  </si>
  <si>
    <t>Feb 5</t>
  </si>
  <si>
    <t>https://www.bloomberg.com/news/articles/2026-03-19/winklevosses-says-jobs-cuts-at-gemini-exchange-reach-30</t>
  </si>
  <si>
    <t>Genentech</t>
  </si>
  <si>
    <t>https://www.fiercebiotech.com/biotech/genentech-sees-103-roles-impacted-gred-rethink-pens-490m-breast-cancer-collab</t>
  </si>
  <si>
    <t>General Dynamics</t>
  </si>
  <si>
    <t>Aug 8</t>
  </si>
  <si>
    <t>https://patch.com/virginia/arlington-va/174-gdit-pentagon-workers-could-face-layoffs-august</t>
  </si>
  <si>
    <t>General Motors</t>
  </si>
  <si>
    <t>Jan 5</t>
  </si>
  <si>
    <t>May 11</t>
  </si>
  <si>
    <t>https://www.cnbc.com/2026/05/11/gm-layoffs.html</t>
  </si>
  <si>
    <t>Georgia-Pacific</t>
  </si>
  <si>
    <t>fox13seattle.com</t>
  </si>
  <si>
    <t>https://www.fox13seattle.com/news/georgia-pacific-gypsum-llc-more-than-100-tacoma-workers-laid-off</t>
  </si>
  <si>
    <t>Gilead Sciences</t>
  </si>
  <si>
    <t>https://www.fiercebiotech.com/biotech/after-arcellx-buyout-close-gilead-trims-108-jobs-car-t-biotechs-redwood-city-outpost</t>
  </si>
  <si>
    <t>GitLab</t>
  </si>
  <si>
    <t>Jun 1</t>
  </si>
  <si>
    <t>Company filing</t>
  </si>
  <si>
    <t>ir.gitlab.com</t>
  </si>
  <si>
    <t>https://ir.gitlab.com/news/news-details/2026/GitLab-Reports-First-Quarter-Fiscal-Year-2027-Financial-Results/default.aspx</t>
  </si>
  <si>
    <t>GladUDid Chick-fil-A</t>
  </si>
  <si>
    <t>https://edd.ca.gov/en/Jobs_and_Training/Layoff_Services_WARN/</t>
  </si>
  <si>
    <t>Gloat</t>
  </si>
  <si>
    <t>Mar 2</t>
  </si>
  <si>
    <t>https://en.globes.co.il/en/article-gloat-lays-off-20-of-workforce-1001536470</t>
  </si>
  <si>
    <t>Glovo</t>
  </si>
  <si>
    <t>Mar 15</t>
  </si>
  <si>
    <t>thespanisheye.com</t>
  </si>
  <si>
    <t>https://www.thespanisheye.com/2026/03/15/glovo-to-lay-off-750-riders-in-spain-and-cut-services-in-63-towns-most-of-andalucia-affected/</t>
  </si>
  <si>
    <t>GoHealth</t>
  </si>
  <si>
    <t>beckershospitalreview.com</t>
  </si>
  <si>
    <t>https://www.beckershospitalreview.com/finance/gohealth-to-shut-down-majority-of-operations-cut-103-jobs/</t>
  </si>
  <si>
    <t>GoKwik</t>
  </si>
  <si>
    <t>Jul 11</t>
  </si>
  <si>
    <t>inc42.com</t>
  </si>
  <si>
    <t>https://inc42.com/buzz/exclusive-gokwik-lays-off-around-120-employees-amid-ai-push/</t>
  </si>
  <si>
    <t>GoPro</t>
  </si>
  <si>
    <t>Apr 7</t>
  </si>
  <si>
    <t>https://www.sec.gov/cgi-bin/browse-edgar?action=getcompany&amp;CIK=0001500435&amp;type=8-K&amp;dateb=&amp;owner=include&amp;count=10</t>
  </si>
  <si>
    <t>Goldman Sachs</t>
  </si>
  <si>
    <t>wkzo.com</t>
  </si>
  <si>
    <t>https://wkzo.com/2026/03/19/goldman-sachs-to-make-performance-based-job-cuts-in-april-source-says/</t>
  </si>
  <si>
    <t>Goodyear</t>
  </si>
  <si>
    <t>manufacturingdive.com</t>
  </si>
  <si>
    <t>https://www.manufacturingdive.com/news/goodyear-talks-to-close-fayetteville-north-carolina-tire-factory-usw-1700-workers/820242/</t>
  </si>
  <si>
    <t>Google</t>
  </si>
  <si>
    <t>https://www.geekwire.com/2026/google-to-cut-52-employees-in-washington-state/</t>
  </si>
  <si>
    <t>Gossamer Bio</t>
  </si>
  <si>
    <t>https://www.biospace.com/business/gossamer-nearly-halves-workforce-in-savings-push-after-late-stage-hypertension-fail</t>
  </si>
  <si>
    <t>Greggs</t>
  </si>
  <si>
    <t>ca.finance.yahoo.com</t>
  </si>
  <si>
    <t>https://ca.finance.yahoo.com/news/greggs-shut-four-factories-cut-085919868.html</t>
  </si>
  <si>
    <t>Group 1 Automotive</t>
  </si>
  <si>
    <t>May 4</t>
  </si>
  <si>
    <t>autonews.com</t>
  </si>
  <si>
    <t>https://www.autonews.com/retail/an-group-1-cuts-us-jobs-0504/</t>
  </si>
  <si>
    <t>Groupon</t>
  </si>
  <si>
    <t>investing.com</t>
  </si>
  <si>
    <t>https://www.investing.com/news/stock-market-news/groupon-stock-jumps-5-on-job-cuts-raised-guidance-93CH-4709657</t>
  </si>
  <si>
    <t>H&amp;M</t>
  </si>
  <si>
    <t>Aug 7</t>
  </si>
  <si>
    <t>theindustry.fashion</t>
  </si>
  <si>
    <t>https://www.theindustry.fashion/hm-restructuring-uk-office-consultation-2026/</t>
  </si>
  <si>
    <t>H&amp;R Block</t>
  </si>
  <si>
    <t>https://www.sec.gov/Archives/edgar/data/12659/000001265926000026/hrb-20260630.htm</t>
  </si>
  <si>
    <t>HDFC Bank</t>
  </si>
  <si>
    <t>Jul 12</t>
  </si>
  <si>
    <t>https://www.business-standard.com/industry/news/hdfc-bank-s-workforce-drops-by-over-3-300-amid-push-to-automate-operations-126071200343_1.html</t>
  </si>
  <si>
    <t>HSBC</t>
  </si>
  <si>
    <t>https://www.bloomberg.com/news/newsletters/2026-03-19/hsbc-weighs-cutting-20k-jobs-as-ai-takes-centre-stage</t>
  </si>
  <si>
    <t>Haas Automation</t>
  </si>
  <si>
    <t>Aug 19</t>
  </si>
  <si>
    <t>Hancock Whitney</t>
  </si>
  <si>
    <t>clickorlando.com</t>
  </si>
  <si>
    <t>https://www.clickorlando.com/news/local/2026/10/02/mass-layoffs-reported-at-two-orlando-companies/</t>
  </si>
  <si>
    <t>Harley-Davidson</t>
  </si>
  <si>
    <t>wpr.org</t>
  </si>
  <si>
    <t>https://www.wpr.org/news/harley-davidson-reduction-global-workforce</t>
  </si>
  <si>
    <t>Health First</t>
  </si>
  <si>
    <t>https://www.wftv.com/news/local/health-first-announces-layoffs-ends-some-local-programs/X4FGTXAHYFHM5KHZNE7NIDVMAI/</t>
  </si>
  <si>
    <t>Heineken</t>
  </si>
  <si>
    <t>Feb 12</t>
  </si>
  <si>
    <t>Hello Bello</t>
  </si>
  <si>
    <t>kwtx.com</t>
  </si>
  <si>
    <t>https://www.kwtx.com/2026/09/30/hello-bello-facility-waco-close-laying-off-nearly-70-employees/</t>
  </si>
  <si>
    <t>HelloFresh</t>
  </si>
  <si>
    <t>https://njbiz.com/hellofresh-swedesboro-distribution-center-closure/</t>
  </si>
  <si>
    <t>Home Depot</t>
  </si>
  <si>
    <t>Horizon BCBS NJ</t>
  </si>
  <si>
    <t>https://njbiz.com/horizon-bcbs-nj-layoffs-242-jobs/</t>
  </si>
  <si>
    <t>Howard University</t>
  </si>
  <si>
    <t>Aug 10</t>
  </si>
  <si>
    <t>hbcugameday.com</t>
  </si>
  <si>
    <t>https://hbcugameday.com/2026/08/07/howard-university-workforce-buyouts-highlight-new-financial-pressures-facing-hbcus/</t>
  </si>
  <si>
    <t>HubSpot</t>
  </si>
  <si>
    <t>Oct 6</t>
  </si>
  <si>
    <t>nbcboston.com</t>
  </si>
  <si>
    <t>https://www.nbcboston.com/boston-business-journal/cambridge-based-hubspot-cuts-660-jobs-in-strategic-shift/4026561/</t>
  </si>
  <si>
    <t>IGT</t>
  </si>
  <si>
    <t>sbcamericas.com</t>
  </si>
  <si>
    <t>https://sbcamericas.com/2026/03/24/reports-igt-laying-off-700-employees-worldwide-to-streamline-business/</t>
  </si>
  <si>
    <t>IKEA (Ingka Group)</t>
  </si>
  <si>
    <t>retailgazette.co.uk</t>
  </si>
  <si>
    <t>https://www.retailgazette.co.uk/blog/2026/03/ikea-ingka-cut-roles-too-complex/</t>
  </si>
  <si>
    <t>Iberia</t>
  </si>
  <si>
    <t>Mar 13</t>
  </si>
  <si>
    <t>https://www.thespanisheye.com/2026/03/13/iberia-to-lay-off-almost-1000-workers-figure-is-nearly-10-of-its-workforce/</t>
  </si>
  <si>
    <t>Imperial Brands</t>
  </si>
  <si>
    <t>https://qz.com/imperial-brands-layoffs-us-europe-itg-brands-081026</t>
  </si>
  <si>
    <t>Innovaccer</t>
  </si>
  <si>
    <t>entrackr.com</t>
  </si>
  <si>
    <t>https://entrackr.com/news/innovaccer-lays-off-340-employees-amid-shift-to-ai-native-operations-11838352</t>
  </si>
  <si>
    <t>Insteel Industries</t>
  </si>
  <si>
    <t>https://www.sec.gov/Archives/edgar/data/764401/000143774926028729/ex_1007728.htm</t>
  </si>
  <si>
    <t>Intel</t>
  </si>
  <si>
    <t>Sep 18</t>
  </si>
  <si>
    <t>Inter IKEA Group</t>
  </si>
  <si>
    <t>ndtv.com</t>
  </si>
  <si>
    <t>https://www.ndtv.com/world-news/ikea-layoff-grown-bit-too-complex-ikea-to-cut-850-jobs-at-parent-company-11512530</t>
  </si>
  <si>
    <t>International Motors</t>
  </si>
  <si>
    <t>Jul 30</t>
  </si>
  <si>
    <t>springfieldnewssun.com</t>
  </si>
  <si>
    <t>https://www.springfieldnewssun.com/local/international-motors-files-warn-notice-on-layoffs-of-1-341-springfield-workers/article_d89d6d09-1c2c-5529-b045-3513cf8b7e7a.html</t>
  </si>
  <si>
    <t>Intuit</t>
  </si>
  <si>
    <t>https://finance.yahoo.com/sectors/technology/articles/exclusive-intuit-cut-17-global-130424207.html</t>
  </si>
  <si>
    <t>JBS</t>
  </si>
  <si>
    <t>https://www.wfmz.com/news/area/southeastern-pa/upper-montgomery-county/meatpacking-company-to-close-montgomery-county-plant-1-500-jobs-at-stake/article_1d0d2b72-bf34-4dc5-becd-e6df64983ea1.html</t>
  </si>
  <si>
    <t>JPMorgan Chase</t>
  </si>
  <si>
    <t>citywire.com</t>
  </si>
  <si>
    <t>https://citywire.com/pro-buyer/news/jp-morgans-first-round-of-layoffs-to-hit-new-jersey-by-may/a2460400</t>
  </si>
  <si>
    <t>https://finance.yahoo.com/markets/stocks/articles/major-n-j-financial-services-130115839.html</t>
  </si>
  <si>
    <t>Jabil</t>
  </si>
  <si>
    <t>Aug 20</t>
  </si>
  <si>
    <t>Jaguar Land Rover</t>
  </si>
  <si>
    <t>Sep 5</t>
  </si>
  <si>
    <t>coventrytelegraph.net</t>
  </si>
  <si>
    <t>https://www.coventrytelegraph.net/news/coventry-news/jaguar-land-rover-cut-4000-34573511</t>
  </si>
  <si>
    <t>Jerith Manufacturing (Assa Abloy)</t>
  </si>
  <si>
    <t>https://www.inquirer.com/business/jerith-manufacturing-fence-philadelphia-closing-ameristar-20260908.html</t>
  </si>
  <si>
    <t>John Muir Health</t>
  </si>
  <si>
    <t>Aug 27</t>
  </si>
  <si>
    <t>Johns Hopkins University</t>
  </si>
  <si>
    <t>baltimoresun.com</t>
  </si>
  <si>
    <t>https://www.baltimoresun.com/2026/06/25/johns-hopkins-university-layoffs/</t>
  </si>
  <si>
    <t>Johnson &amp; Johnson</t>
  </si>
  <si>
    <t>fiercepharma.com</t>
  </si>
  <si>
    <t>https://www.fiercepharma.com/pharma/jj-separates-its-orthopedics-business-it-lays-56-new-jersey</t>
  </si>
  <si>
    <t>Sep 21</t>
  </si>
  <si>
    <t>Just Group</t>
  </si>
  <si>
    <t>greatdriffieldradio.co.uk</t>
  </si>
  <si>
    <t>https://greatdriffieldradio.co.uk/business/pensions-firm-just-axes-quarter-of-workforce-months-after-takeover/</t>
  </si>
  <si>
    <t>K&amp;L Gates</t>
  </si>
  <si>
    <t>abovethelaw.com</t>
  </si>
  <si>
    <t>https://abovethelaw.com/2026/07/layoff-alert-kl-gates-announces-significant-cuts/</t>
  </si>
  <si>
    <t>KPMG Australia</t>
  </si>
  <si>
    <t>Aug 24</t>
  </si>
  <si>
    <t>abc.net.au</t>
  </si>
  <si>
    <t>https://www.abc.net.au/news/2026-08-24/kpmg-restructure-job-cuts-after-whistleblower-audit-leak-scandal/107070260</t>
  </si>
  <si>
    <t>KPMG UK</t>
  </si>
  <si>
    <t>Mar 27</t>
  </si>
  <si>
    <t>tradingview.com</t>
  </si>
  <si>
    <t>https://www.tradingview.com/news/reuters.com,2026:newsml_L6N40F18I:0-kpmg-plans-to-cut-hundreds-of-jobs-in-auditing-division-bloomberg-news-reports/</t>
  </si>
  <si>
    <t>personneltoday.com</t>
  </si>
  <si>
    <t>https://www.personneltoday.com/hr/kpmg-to-cut-200-jobs-from-its-uk-advisory-business/</t>
  </si>
  <si>
    <t>KPMG US</t>
  </si>
  <si>
    <t>Apr 23</t>
  </si>
  <si>
    <t>accountingtoday.com</t>
  </si>
  <si>
    <t>https://www.accountingtoday.com/news/kpmg-lays-off-10-of-us-audit-partners</t>
  </si>
  <si>
    <t>Kaiser Permanente</t>
  </si>
  <si>
    <t>https://www.beckershospitalreview.com/finance/kaiser-permanente-to-lay-off-147-workers-across-california/</t>
  </si>
  <si>
    <t>Kellanova</t>
  </si>
  <si>
    <t>Kenco Logistic Services</t>
  </si>
  <si>
    <t>https://www.wfmz.com/business/dozens-of-jobs-impacted-by-northampton-county-warehouse-closure-warn-notice-says/article_d933eeca-8699-49f1-9ef6-b36ed1e73a34.html</t>
  </si>
  <si>
    <t>Kings Food Markets (Albertsons)</t>
  </si>
  <si>
    <t>nj1015.com</t>
  </si>
  <si>
    <t>https://nj1015.com/october-2026-nj-layoffs/</t>
  </si>
  <si>
    <t>Kyndryl</t>
  </si>
  <si>
    <t>kyndryl.com</t>
  </si>
  <si>
    <t>https://www.kyndryl.com/us/en/about-us/news/2026/05/annual-and-fourth-quarter-2026-earnings-results</t>
  </si>
  <si>
    <t>L.A. Care Health Plan</t>
  </si>
  <si>
    <t>beckerspayer.com</t>
  </si>
  <si>
    <t>https://www.beckerspayer.com/payer/medicaid/california-payer-laying-off-3-of-workforce-amid-medicaid-cuts/</t>
  </si>
  <si>
    <t>LAHSA</t>
  </si>
  <si>
    <t>abc7.com</t>
  </si>
  <si>
    <t>https://abc7.com/post/lahsa-announces-plans-lay-off-300-employees-amid-shift-funding/18935005/</t>
  </si>
  <si>
    <t>LAUSD (Los Angeles Unified School District)</t>
  </si>
  <si>
    <t>laist.com</t>
  </si>
  <si>
    <t>https://laist.com/brief/news/education/lausd-reduction-in-force-vote-may-2026-budget-preview</t>
  </si>
  <si>
    <t>LIV Golf</t>
  </si>
  <si>
    <t>Aug 26</t>
  </si>
  <si>
    <t>washingtontimes.com</t>
  </si>
  <si>
    <t>https://www.washingtontimes.com/news/2026/aug/26/liv-golf-begins-laying-employees-downsizing-restructure-without-saudi/</t>
  </si>
  <si>
    <t>LeeMAH Electronics</t>
  </si>
  <si>
    <t>californiawarn.com</t>
  </si>
  <si>
    <t>https://californiawarn.com/companies/leemah-electronics</t>
  </si>
  <si>
    <t>Legal &amp; General</t>
  </si>
  <si>
    <t>https://uk.finance.yahoo.com/news/legal-general-cut-around-1-121223777.html</t>
  </si>
  <si>
    <t>Leidos</t>
  </si>
  <si>
    <t>Jul 13</t>
  </si>
  <si>
    <t>washingtontechnology.com</t>
  </si>
  <si>
    <t>https://www.washingtontechnology.com/companies/2026/07/leidos-layoff-notices-hit-305-people-non-customer-roles/414729/</t>
  </si>
  <si>
    <t>https://patch.com/virginia/ashburn/northern-virginia-tech-company-anticipates-major-layoffs-ashburn</t>
  </si>
  <si>
    <t>Levi Strauss &amp; Co.</t>
  </si>
  <si>
    <t>Jul 8</t>
  </si>
  <si>
    <t>https://www.supplychaindive.com/news/levi-strauss-to-close-kentucky-warehouse-after-yearlong-delay/824451/</t>
  </si>
  <si>
    <t>Lightricks</t>
  </si>
  <si>
    <t>https://www.calcalistech.com/ctechnews/article/r1dgjt5gmg</t>
  </si>
  <si>
    <t>LinkedIn</t>
  </si>
  <si>
    <t>https://www.reuters.com/business/world-at-work/linkedin-is-planning-lay-off-5-staff-latest-tech-sector-cuts-source-says-2026-05-13/</t>
  </si>
  <si>
    <t>Los Angeles Lakers</t>
  </si>
  <si>
    <t>espn.com</t>
  </si>
  <si>
    <t>https://www.espn.com/nba/story/_/id/48894046/lakers-lay-more-dozen-business-side-employees-amid-reorganization</t>
  </si>
  <si>
    <t>Louisiana-Pacific</t>
  </si>
  <si>
    <t>ktre.com</t>
  </si>
  <si>
    <t>https://www.ktre.com/2026/09/07/louisiana-pacific-lay-off-150-workers-jasper-plant-next-month/</t>
  </si>
  <si>
    <t>Lucid</t>
  </si>
  <si>
    <t>kron4.com</t>
  </si>
  <si>
    <t>https://www.kron4.com/news/technology-ai/hundreds-to-be-laid-off-from-bay-area-based-luxury-ev-maker/</t>
  </si>
  <si>
    <t>Jun 22</t>
  </si>
  <si>
    <t>https://www.cnbc.com/2026/06/22/lucid-layoffs-evs.html</t>
  </si>
  <si>
    <t>MARA Holdings</t>
  </si>
  <si>
    <t>unchainedcrypto.com</t>
  </si>
  <si>
    <t>https://unchainedcrypto.com/mara-holdings-cuts-15-of-staff-as-bitcoin-miners-sell-reserves-and-retrench/</t>
  </si>
  <si>
    <t>Macy's</t>
  </si>
  <si>
    <t>Jan 14</t>
  </si>
  <si>
    <t>retaildive.com</t>
  </si>
  <si>
    <t>https://www.retaildive.com/news/macys-layoffs-cheshire-connecticut-fulfillment-center/809837/</t>
  </si>
  <si>
    <t>Magic Leap</t>
  </si>
  <si>
    <t>Jul 20</t>
  </si>
  <si>
    <t>roadtovr.com</t>
  </si>
  <si>
    <t>https://roadtovr.com/magic-leap-lay-off-2026-waveguide-pivot/</t>
  </si>
  <si>
    <t>MaineHealth</t>
  </si>
  <si>
    <t>Jul 28</t>
  </si>
  <si>
    <t>pressherald.com</t>
  </si>
  <si>
    <t>https://www.pressherald.com/2026/07/28/mainehealth-to-cut-83-positions-in-it-analytics/</t>
  </si>
  <si>
    <t>Manhattan Associates</t>
  </si>
  <si>
    <t>https://www.sec.gov/Archives/edgar/data/0001056696/000119312526251382/manh-20260601.htm</t>
  </si>
  <si>
    <t>Marc's</t>
  </si>
  <si>
    <t>cleveland19.com</t>
  </si>
  <si>
    <t>https://www.cleveland19.com/2026/09/11/marcs-close-parma-facility-cut-55-jobs/</t>
  </si>
  <si>
    <t>Mars Petcare</t>
  </si>
  <si>
    <t>Apr 20</t>
  </si>
  <si>
    <t>wizs.com</t>
  </si>
  <si>
    <t>https://wizs.com/mars-petcare-plant-in-henderson-to-close-in-july/</t>
  </si>
  <si>
    <t>MasterBrand Cabinets</t>
  </si>
  <si>
    <t>neusenews.com</t>
  </si>
  <si>
    <t>https://www.neusenews.com/index/2026/9/30/masterbrand-changes-to-affect-390-workers-at-kinston-facility</t>
  </si>
  <si>
    <t>Mastercard</t>
  </si>
  <si>
    <t>Maverick Gaming</t>
  </si>
  <si>
    <t>casino.org</t>
  </si>
  <si>
    <t>https://www.casino.org/news/washington-states-riverside-great-american-casinos-to-close-as-maverick-gaming-cuts-238-more-jobs/</t>
  </si>
  <si>
    <t>https://www.casino.org/news/maverick-gamings-washington-casino-empire-keeps-shrinking-as-eight-more-face-closure/</t>
  </si>
  <si>
    <t>McClatchy</t>
  </si>
  <si>
    <t>poynter.org</t>
  </si>
  <si>
    <t>https://www.poynter.org/business-work/2026/mcclatchy-media-newspapers-layoffs/</t>
  </si>
  <si>
    <t>MedImpact Healthcare</t>
  </si>
  <si>
    <t>Mar 4</t>
  </si>
  <si>
    <t>whatnow.com</t>
  </si>
  <si>
    <t>https://whatnow.com/san-diego/local-news/37-year-old-pharmacy-benefits-manager-cuts-125-jobs-in-san-diego/</t>
  </si>
  <si>
    <t>Mercedes-Benz R and D North America</t>
  </si>
  <si>
    <t>https://www.warntracker.com/company/mercedes-benz-research-development-north-america</t>
  </si>
  <si>
    <t>Mercer International</t>
  </si>
  <si>
    <t>Aug 6</t>
  </si>
  <si>
    <t>https://www.sec.gov/Archives/edgar/data/1333274/000119312526338270/merc-ex99_1.htm</t>
  </si>
  <si>
    <t>Merck</t>
  </si>
  <si>
    <t>https://njbiz.com/merck-54-jobs-rahway-nj-layoffs/</t>
  </si>
  <si>
    <t>Meta</t>
  </si>
  <si>
    <t>https://www.cnbc.com/2026/03/16/meta-ai-costs-mass-layoffs-20percent-up-premarket.html</t>
  </si>
  <si>
    <t>Mews</t>
  </si>
  <si>
    <t>skift.com</t>
  </si>
  <si>
    <t>https://skift.com/2026/07/07/mews-layoffs-restructuring-ai/</t>
  </si>
  <si>
    <t>Microsoft</t>
  </si>
  <si>
    <t>https://www.cnbc.com/2026/04/23/microsoft-plans-first-voluntary-retirement-program-for-us-employees.html</t>
  </si>
  <si>
    <t>https://www.cnbc.com/2026/07/06/microsoft-cuts-2point1percent-of-employees-as-xbox-unit-plans-to-spin-studios.html</t>
  </si>
  <si>
    <t>videogameschronicle.com</t>
  </si>
  <si>
    <t>https://www.videogameschronicle.com/news/xbox-officially-announces-more-layoffs-and-widespread-changes-to-its-entire-studio-structure/</t>
  </si>
  <si>
    <t>Minute Media</t>
  </si>
  <si>
    <t>https://www.calcalistech.com/ctechnews/article/kk215pdq7</t>
  </si>
  <si>
    <t>Mission Foods</t>
  </si>
  <si>
    <t>krdo.com</t>
  </si>
  <si>
    <t>https://krdo.com/news/2026/08/18/mission-foods-closes-pueblo-tortilla-plant-laying-off-90-workers/</t>
  </si>
  <si>
    <t>Molina Healthcare</t>
  </si>
  <si>
    <t>labusinessjournal.com</t>
  </si>
  <si>
    <t>https://labusinessjournal.com/healthcare/long-beach-based-molina-healthcare-lay-nearly-170/</t>
  </si>
  <si>
    <t>Montrose Forest Products (Neiman)</t>
  </si>
  <si>
    <t>timberharvesting.com</t>
  </si>
  <si>
    <t>https://timberharvesting.com/neiman-closing-mill-in-western-colorado/</t>
  </si>
  <si>
    <t>Morgan Stanley</t>
  </si>
  <si>
    <t>Mar 7</t>
  </si>
  <si>
    <t>Mountain Valley Golf Course</t>
  </si>
  <si>
    <t>shensentinel.com</t>
  </si>
  <si>
    <t>https://shensentinel.com/news/mountain-valley-closure-displaces-111-workers-warn-notice-says/</t>
  </si>
  <si>
    <t>MultiCare Health System</t>
  </si>
  <si>
    <t>kiro7.com</t>
  </si>
  <si>
    <t>https://www.kiro7.com/news/local/multicare-health-system-plans-layoff-138-employees-close-6-locations/FEY7MP4UD5DM5HWM3SM6GHL7PQ/</t>
  </si>
  <si>
    <t>MyHeritage</t>
  </si>
  <si>
    <t>https://en.globes.co.il/en/article-myheritage-to-lay-off-15-of-workforce-1001548761</t>
  </si>
  <si>
    <t>NBA</t>
  </si>
  <si>
    <t>Jul 2</t>
  </si>
  <si>
    <t>https://awfulannouncing.com/nba/institutes-layoffs-ahead-local-media-restructuring.html</t>
  </si>
  <si>
    <t>Nationwide Building Society</t>
  </si>
  <si>
    <t>theguardian.com</t>
  </si>
  <si>
    <t>https://www.theguardian.com/business/2026/jun/29/nationwide-cut-600-jobs-first-redundancies-takeover-virgin-money</t>
  </si>
  <si>
    <t>Nature's Bakery (Mars)</t>
  </si>
  <si>
    <t>https://www.supplychaindive.com/news/mars-to-close-natures-bakery-plant-lay-off-345-workers/824855/</t>
  </si>
  <si>
    <t>Nestlé</t>
  </si>
  <si>
    <t>grocerygazette.co.uk</t>
  </si>
  <si>
    <t>https://www.grocerygazette.co.uk/2026/03/03/nestle-job-cuts-south-africa/</t>
  </si>
  <si>
    <t>Netflix</t>
  </si>
  <si>
    <t>Nike</t>
  </si>
  <si>
    <t>Jan 26</t>
  </si>
  <si>
    <t>https://www.cnbc.com/2026/01/26/nike-to-lay-off-775-employees-at-us-distribution-centers.html</t>
  </si>
  <si>
    <t>https://www.cnbc.com/2026/04/23/nike-job-cuts-layoffs.html</t>
  </si>
  <si>
    <t>Nippon Electric Glass</t>
  </si>
  <si>
    <t>Jul 10</t>
  </si>
  <si>
    <t>spectrumlocalnews.com</t>
  </si>
  <si>
    <t>https://spectrumlocalnews.com/nc/charlotte/news/2026/07/10/nippon-electric-glass-set-to-lay-off-workers-in-n-c-</t>
  </si>
  <si>
    <t>Nissan</t>
  </si>
  <si>
    <t>https://www.autonews.com/nissan/ane-nissan-europe-job-cuts-0505/</t>
  </si>
  <si>
    <t>Nokia</t>
  </si>
  <si>
    <t>indiaherald.com</t>
  </si>
  <si>
    <t>https://www.indiaherald.com/Breaking/Read/994885580/-Nokia-Layoffs-Tech-Giant-Plans-to-Cut-Up-to-Jobs-</t>
  </si>
  <si>
    <t>Nordstrom</t>
  </si>
  <si>
    <t>https://finance.yahoo.com/small-business/articles/125-old-mall-retail-anchor-181700285.html</t>
  </si>
  <si>
    <t>Notions Marketing</t>
  </si>
  <si>
    <t>Jul 14</t>
  </si>
  <si>
    <t>woodtv.com</t>
  </si>
  <si>
    <t>https://www.woodtv.com/news/grand-rapids/fire-at-grand-rapids-warehouse-prompts-mass-layoff-of-200-workers/</t>
  </si>
  <si>
    <t>Novartis</t>
  </si>
  <si>
    <t>https://www.fiercepharma.com/pharma/novartis-dismisses-322-more-its-us-headquarters-nj</t>
  </si>
  <si>
    <t>novartis.com</t>
  </si>
  <si>
    <t>https://www.novartis.com/ch-de/news/media-releases/novartis-informiert-ueber-den-geplanten-uebergang-von-aktivitaeten-im-kleinbasel</t>
  </si>
  <si>
    <t>Novo Nordisk</t>
  </si>
  <si>
    <t>cphpost.dk</t>
  </si>
  <si>
    <t>https://cphpost.dk/2026-09-21/business-education/career/novo-has-cut-4000-more-than-first-announced/</t>
  </si>
  <si>
    <t>https://njbiz.com/novo-108-job-cuts-nj-headquarters/</t>
  </si>
  <si>
    <t>Nutanix</t>
  </si>
  <si>
    <t>https://www.sec.gov/Archives/edgar/data/1618732/000119312526331661/ntnx-20260804.htm</t>
  </si>
  <si>
    <t>Obsidian Entertainment</t>
  </si>
  <si>
    <t>Jul 9</t>
  </si>
  <si>
    <t>gematsu.com</t>
  </si>
  <si>
    <t>https://www.gematsu.com/2026/07/bloomberg-obsidian-entertainment-cancels-avowed-sequel-starts-work-on-fallout-title-amid-layoffs</t>
  </si>
  <si>
    <t>Omnicom</t>
  </si>
  <si>
    <t>mediapost.com</t>
  </si>
  <si>
    <t>https://www.mediapost.com/publications/article/417911/omnicom-set-to-cut-15000-jobs.html</t>
  </si>
  <si>
    <t>One Drop Foundation</t>
  </si>
  <si>
    <t>montrealgazette.com</t>
  </si>
  <si>
    <t>https://montrealgazette.com/news/guy-laliberte-one-drop-foundation-layoffs-operations/</t>
  </si>
  <si>
    <t>Opendoor</t>
  </si>
  <si>
    <t>Jun 10</t>
  </si>
  <si>
    <t>https://x.com/nejatian/status/2064734707497996543</t>
  </si>
  <si>
    <t>Oracle</t>
  </si>
  <si>
    <t>thenextweb.com</t>
  </si>
  <si>
    <t>https://thenextweb.com/news/oracle-layoffs-march-2026</t>
  </si>
  <si>
    <t>Sep 14</t>
  </si>
  <si>
    <t>Owens &amp; Minor</t>
  </si>
  <si>
    <t>https://virginiaworks.gov/warn-notice/40177/</t>
  </si>
  <si>
    <t>Ozark Materials (PPG)</t>
  </si>
  <si>
    <t>https://finance.yahoo.com/small-business/articles/alabama-paint-manufacturing-plant-close-085526908.html</t>
  </si>
  <si>
    <t>PGA Tour</t>
  </si>
  <si>
    <t>golfdigest.com</t>
  </si>
  <si>
    <t>https://www.golfdigest.com/story/pga-tour-announces-wide-spread-layoffs-eliminates-nearly-80-positions-2026</t>
  </si>
  <si>
    <t>PMG Indiana</t>
  </si>
  <si>
    <t>insideindianabusiness.com</t>
  </si>
  <si>
    <t>https://www.insideindianabusiness.com/articles/pmg-indiana-to-close-columbus-manufacturing-plant-lay-off-150-workers</t>
  </si>
  <si>
    <t>PNC / FirstBank</t>
  </si>
  <si>
    <t>denverpost.com</t>
  </si>
  <si>
    <t>https://www.denverpost.com/2026/04/20/first-bank-layoffs-lakewood-colorado-jobs/</t>
  </si>
  <si>
    <t>Packaging Corp. of America</t>
  </si>
  <si>
    <t>daytondailynews.com</t>
  </si>
  <si>
    <t>https://www.daytondailynews.com/local/middletown-s-packaging-corp-of-america-to-close-lay-off-91-employees/article_5b02605d-c48f-5f26-ad35-5ed3bcf174d7.html</t>
  </si>
  <si>
    <t>Palo Alto / CyberArk</t>
  </si>
  <si>
    <t>Feb 17</t>
  </si>
  <si>
    <t>https://www.calcalistech.com/ctechnews/article/qhfypdgbs</t>
  </si>
  <si>
    <t>Patreon</t>
  </si>
  <si>
    <t>404media.co</t>
  </si>
  <si>
    <t>https://www.404media.co/patreon-lays-off-20-percent-of-its-workforce/</t>
  </si>
  <si>
    <t>PayPal</t>
  </si>
  <si>
    <t>https://techcrunch.com/2026/05/05/paypal-says-its-becoming-a-technology-company-again-that-means-ai/</t>
  </si>
  <si>
    <t>https://finance.yahoo.com/technology/articles/paypal-plans-lay-off-hundreds-220113558.html</t>
  </si>
  <si>
    <t>PeaceHealth</t>
  </si>
  <si>
    <t>columbian.com</t>
  </si>
  <si>
    <t>https://www.columbian.com/news/2026/sep/18/peacehealth-to-lay-off-150-employees-statewide-including-119-in-clark-county/</t>
  </si>
  <si>
    <t>Peloton</t>
  </si>
  <si>
    <t>Pendo</t>
  </si>
  <si>
    <t>axios.com</t>
  </si>
  <si>
    <t>https://www.axios.com/local/raleigh/2026/04/07/raleigh-software-unicorn-pendo-layoffs-jobs</t>
  </si>
  <si>
    <t>Penn Entertainment</t>
  </si>
  <si>
    <t>May 14</t>
  </si>
  <si>
    <t>https://next.io/news/people/sources-penn-laying-off-75-employees/</t>
  </si>
  <si>
    <t>Pentera</t>
  </si>
  <si>
    <t>https://www.calcalistech.com/ctechnews/article/cri3dnoqo</t>
  </si>
  <si>
    <t>Pep Boys</t>
  </si>
  <si>
    <t>https://www.wfmz.com/news/area/southeastern-pa/upper-montgomery-county/mass-layoff-coming-to-pep-boys-montgomery-county-headquarters/article_53033628-14ff-4c20-94b4-39f5a5a3431c.html</t>
  </si>
  <si>
    <t>PepsiCo</t>
  </si>
  <si>
    <t>fooddive.com</t>
  </si>
  <si>
    <t>https://www.fooddive.com/news/pepsico-layoffs-maryland-bottling-plant-manufacturing-operations/830548/</t>
  </si>
  <si>
    <t>Perstorp Polyols (PETRONAS)</t>
  </si>
  <si>
    <t>dam.assets.ohio.gov</t>
  </si>
  <si>
    <t>https://dam.assets.ohio.gov/image/upload/jfs.ohio.gov/warn/WARN%202026/Perstorp_Polyols_Inc.pdf</t>
  </si>
  <si>
    <t>Pinterest</t>
  </si>
  <si>
    <t>Jan 27</t>
  </si>
  <si>
    <t>Polygon Labs</t>
  </si>
  <si>
    <t>Jan 16</t>
  </si>
  <si>
    <t>coindesk.com</t>
  </si>
  <si>
    <t>https://www.coindesk.com/business/2026/01/16/polygon-labs-said-to-have-laid-off-60-staff-following-new-usd250-million-acquisition</t>
  </si>
  <si>
    <t>Porsche</t>
  </si>
  <si>
    <t>cbtnews.com</t>
  </si>
  <si>
    <t>https://www.cbtnews.com/porsche-confirms-3900-job-cuts/</t>
  </si>
  <si>
    <t>https://www.cnbc.com/2026/07/27/porsche-ramps-up-job-cuts-to-9000-by-2035.html</t>
  </si>
  <si>
    <t>Portillo's</t>
  </si>
  <si>
    <t>https://chicago.suntimes.com/work/2026/08/05/portillos-laying-off-staff-oak-brook-headquarters</t>
  </si>
  <si>
    <t>Portland Trail Blazers</t>
  </si>
  <si>
    <t>May 19</t>
  </si>
  <si>
    <t>hoopsrumors.com</t>
  </si>
  <si>
    <t>https://www.hoopsrumors.com/2026/05/blazers-reportedly-layoff-about-70-business-employees.html</t>
  </si>
  <si>
    <t>Postal Center International</t>
  </si>
  <si>
    <t>https://www.bizjournals.com/sanantonio/news/2026/08/18/mail-operator-layoffs.html</t>
  </si>
  <si>
    <t>Power Safety Service</t>
  </si>
  <si>
    <t>Prairie Farms Dairy</t>
  </si>
  <si>
    <t>Jul 22</t>
  </si>
  <si>
    <t>https://finance.yahoo.com/small-business/articles/prairie-farms-dairy-close-two-154725503.html</t>
  </si>
  <si>
    <t>Procter &amp; Gamble</t>
  </si>
  <si>
    <t>2025-27 program</t>
  </si>
  <si>
    <t>2025-27</t>
  </si>
  <si>
    <t>https://www.cnbc.com/2025/06/05/procter-gamble-job-cuts-restructuring.html</t>
  </si>
  <si>
    <t>Prudential Financial</t>
  </si>
  <si>
    <t>news.ambest.com</t>
  </si>
  <si>
    <t>https://news.ambest.com/newscontent.aspx?AltSrc=104&amp;RefNum=275837</t>
  </si>
  <si>
    <t>https://finance.yahoo.com/economy/articles/prudential-insurance-plans-125-more-163009489.html</t>
  </si>
  <si>
    <t>Qualtrics</t>
  </si>
  <si>
    <t>https://www.geekwire.com/2026/qualtrics-cut-117-jobs-tied-to-seattle-headquarters-new-filing-shows/</t>
  </si>
  <si>
    <t>RTI International</t>
  </si>
  <si>
    <t>wral.com</t>
  </si>
  <si>
    <t>https://www.wral.com/business/rti-to-cut-200-more-jobs-as-it-looks-to-streamline-operations-october-2026/</t>
  </si>
  <si>
    <t>RYAM (Rayonier Advanced Materials)</t>
  </si>
  <si>
    <t>https://www.newsweek.com/canadian-company-announces-mass-layoffs-over-us-tariff-nuclear-bomb-donald-trump-ryam-12380188</t>
  </si>
  <si>
    <t>Rackspace</t>
  </si>
  <si>
    <t>sanantonioreport.org</t>
  </si>
  <si>
    <t>https://sanantonioreport.org/rackspace-750-workers-pivots-infrastructure-ai-san-antonio/</t>
  </si>
  <si>
    <t>Raley's</t>
  </si>
  <si>
    <t>Rapid7</t>
  </si>
  <si>
    <t>bostonglobe.com</t>
  </si>
  <si>
    <t>https://www.bostonglobe.com/2026/08/10/business/rapid7-layoffs/</t>
  </si>
  <si>
    <t>Rapyd</t>
  </si>
  <si>
    <t>https://www.calcalistech.com/ctechnews/article/h1r00jfrgzl</t>
  </si>
  <si>
    <t>Reach plc</t>
  </si>
  <si>
    <t>cp24.com</t>
  </si>
  <si>
    <t>https://www.cp24.com/news/world/2026/09/16/uk-media-group-reach-to-cut-220-journalist-jobs/</t>
  </si>
  <si>
    <t>Redwood Materials</t>
  </si>
  <si>
    <t>https://techcrunch.com/2026/04/21/redwood-materials-lays-off-10-in-restructuring-to-chase-energy-storage-business/</t>
  </si>
  <si>
    <t>Regional Acceptance (Truist)</t>
  </si>
  <si>
    <t>commerce.nc.gov</t>
  </si>
  <si>
    <t>https://www.commerce.nc.gov/data-tools-reports/labor-market-data-tools/workforce-warn-reports/report-workforce-warn-summary-list-2026</t>
  </si>
  <si>
    <t>chron.com</t>
  </si>
  <si>
    <t>https://www.chron.com/news/article/truist-arlington-texas-layoffs-22443577.php</t>
  </si>
  <si>
    <t>Renewal by Andersen</t>
  </si>
  <si>
    <t>Replimune</t>
  </si>
  <si>
    <t>Republic National Distributing</t>
  </si>
  <si>
    <t>thestreet.com</t>
  </si>
  <si>
    <t>https://www.thestreet.com/employment/another-major-alcohol-distributor-rndc-signals-nearly-2800-job-cuts</t>
  </si>
  <si>
    <t>Reyes Coca-Cola Bottling</t>
  </si>
  <si>
    <t>https://www.warntracker.com/company/reyes-coca-cola-bottling</t>
  </si>
  <si>
    <t>Rivian</t>
  </si>
  <si>
    <t>https://www.cnbc.com/2026/06/16/rivian-layoffs.html</t>
  </si>
  <si>
    <t>Robinhood</t>
  </si>
  <si>
    <t>https://fortune.com/2026/06/16/robinhood-announces-layoffs-vladimir-tenev/</t>
  </si>
  <si>
    <t>Roskam Baking Company</t>
  </si>
  <si>
    <t>Ruiz Foods</t>
  </si>
  <si>
    <t>Ryder</t>
  </si>
  <si>
    <t>abc11.com</t>
  </si>
  <si>
    <t>https://abc11.com/post/ryder-trucks-announces-73-layoffs-coming-fayetteville/19693737/</t>
  </si>
  <si>
    <t>SFC Global (Schwan's)</t>
  </si>
  <si>
    <t>https://patch.com/new-jersey/across-nj/hundreds-nj-job-cuts-open-2026</t>
  </si>
  <si>
    <t>SK Battery America</t>
  </si>
  <si>
    <t>ajc.com</t>
  </si>
  <si>
    <t>https://www.ajc.com/business/2026/03/sk-battery-lays-off-nearly-1000-employees-at-north-georgia-plant/</t>
  </si>
  <si>
    <t>Saddle Creek Logistics Services</t>
  </si>
  <si>
    <t>businessobserverfl.com</t>
  </si>
  <si>
    <t>https://www.businessobserverfl.com/news/2026/aug/17/lakeland-logistics-company-job-cuts-plant-city/</t>
  </si>
  <si>
    <t>Saks Global</t>
  </si>
  <si>
    <t>https://www.investing.com/news/stock-market-news/saks-global-wins-court-approval-for-bankruptcy-restructuring-4728991</t>
  </si>
  <si>
    <t>Salesforce</t>
  </si>
  <si>
    <t>businessinsider.com</t>
  </si>
  <si>
    <t>https://www.businessinsider.com/salesforce-cuts-jobs-agentforce-2026-6</t>
  </si>
  <si>
    <t>https://californiawarn.com/companies/salesforce</t>
  </si>
  <si>
    <t>Samsung Electronics America</t>
  </si>
  <si>
    <t>tomshardware.com</t>
  </si>
  <si>
    <t>https://www.tomshardware.com/tech-industry/samsung-cuts-hundreds-of-us-consumer-electronics-jobs-ahead-of-texas-hq-move</t>
  </si>
  <si>
    <t>San Francisco Pretrial Diversion Project</t>
  </si>
  <si>
    <t>sfstandard.com</t>
  </si>
  <si>
    <t>https://sfstandard.com/2026/06/12/sf-court-pretrial-diversion-metrics-sheriff/</t>
  </si>
  <si>
    <t>Sanofi</t>
  </si>
  <si>
    <t>https://www.fiercepharma.com/pharma/sanofi-lay-229-blueprint-medicines-staff-close-cambridge-offices-following-acquisition</t>
  </si>
  <si>
    <t>SentinelOne</t>
  </si>
  <si>
    <t>May 29</t>
  </si>
  <si>
    <t>techstartups.com</t>
  </si>
  <si>
    <t>https://techstartups.com/2026/05/29/sentinelone-lays-off-8-of-workforce-as-ai-push-and-weak-guidance-send-shares-down-12/</t>
  </si>
  <si>
    <t>ServiceNow</t>
  </si>
  <si>
    <t>https://finance.yahoo.com/technology/articles/servicenow-cuts-nearly-300-jobs-100000472.html</t>
  </si>
  <si>
    <t>Sharp HealthCare</t>
  </si>
  <si>
    <t>Aug 12</t>
  </si>
  <si>
    <t>modernhealthcare.com</t>
  </si>
  <si>
    <t>https://www.modernhealthcare.com/providers/staffing/mh-sharp-healthcare-layoffs-cuts/</t>
  </si>
  <si>
    <t>Shell Catalyst &amp; Technologies</t>
  </si>
  <si>
    <t>Silgan Containers</t>
  </si>
  <si>
    <t>https://www.packagingdive.com/news/packaging-layoffs-silgan-containers-smurfit-westrock/726001/</t>
  </si>
  <si>
    <t>Skai</t>
  </si>
  <si>
    <t>Jun 3</t>
  </si>
  <si>
    <t>https://www.calcalistech.com/ctechnews/article/jmjuqzfe6</t>
  </si>
  <si>
    <t>Smokey Bones</t>
  </si>
  <si>
    <t>Apr 28</t>
  </si>
  <si>
    <t>https://www.newsweek.com/smokey-bones-chain-closes-all-restaurants-nationwide-11897570</t>
  </si>
  <si>
    <t>Snap</t>
  </si>
  <si>
    <t>https://deadline.com/2026/04/snap-layoffs-ceo-evan-spiegel-ai-1236861335/</t>
  </si>
  <si>
    <t>Snowflake</t>
  </si>
  <si>
    <t>Mar 21</t>
  </si>
  <si>
    <t>newsbytesapp.com</t>
  </si>
  <si>
    <t>https://www.newsbytesapp.com/news/business/snowflake-cuts-jobs-after-200-million-openai-partnership/tldr</t>
  </si>
  <si>
    <t>Snyk</t>
  </si>
  <si>
    <t>https://en.globes.co.il/en/article-snyk-to-lay-off-90-employees-1001546903</t>
  </si>
  <si>
    <t>Sodexo</t>
  </si>
  <si>
    <t>May 25</t>
  </si>
  <si>
    <t>Jul 24</t>
  </si>
  <si>
    <t>live.euronext.com</t>
  </si>
  <si>
    <t>https://live.euronext.com/en/financial-news/sodexo-plans-cut-more-1000-jobs-france</t>
  </si>
  <si>
    <t>Sep 27</t>
  </si>
  <si>
    <t>wyso.org</t>
  </si>
  <si>
    <t>https://www.wyso.org/news/2026-09-27/two-southwest-ohio-companies-announce-layoffs-of-more-than-200-workers</t>
  </si>
  <si>
    <t>Sonos</t>
  </si>
  <si>
    <t>https://www.bloomberg.com/news/articles/2026-06-25/sonos-cuts-3-of-staff-across-user-experience-product-teams</t>
  </si>
  <si>
    <t>Sony Pictures</t>
  </si>
  <si>
    <t>https://deadline.com/2026/04/sony-pictures-layoffs-refocus-on-growth-1236782963/</t>
  </si>
  <si>
    <t>Southern Cross Media</t>
  </si>
  <si>
    <t>mediaweek.com.au</t>
  </si>
  <si>
    <t>https://www.mediaweek.com.au/southern-cross-media-rohan-lund-ai-redundancies/</t>
  </si>
  <si>
    <t>Spirit Airlines</t>
  </si>
  <si>
    <t>May 2</t>
  </si>
  <si>
    <t>https://www.cnn.com/2026/05/02/business/spirit-to-halt-all-flights</t>
  </si>
  <si>
    <t>Sprout Social</t>
  </si>
  <si>
    <t>Jul 15</t>
  </si>
  <si>
    <t>https://www.sec.gov/Archives/edgar/data/0001517375/000151737526000052/spt-20260715.htm</t>
  </si>
  <si>
    <t>Standard Chartered</t>
  </si>
  <si>
    <t>https://www.business-standard.com/world-news/stanchart-planning-to-lay-off-thousands-of-support-staff-amid-ai-push-126051900112_1.html</t>
  </si>
  <si>
    <t>Stanford Health Care</t>
  </si>
  <si>
    <t>Stanley Black &amp; Decker</t>
  </si>
  <si>
    <t>foxbusiness.com</t>
  </si>
  <si>
    <t>https://www.foxbusiness.com/markets/stanley-black-decker-cut-hundreds-jobs-shut-connecticut-plant</t>
  </si>
  <si>
    <t>Staples</t>
  </si>
  <si>
    <t>https://finance.yahoo.com/economy/articles/fedex-others-announce-layoffs-southern-100000850.html</t>
  </si>
  <si>
    <t>Star Tribune</t>
  </si>
  <si>
    <t>racketmn.com</t>
  </si>
  <si>
    <t>https://racketmn.com/read-star-tribune-publisher-steve-groves-leaked-memo-announcing-dramatic-job-cuts-updated-vision</t>
  </si>
  <si>
    <t>Starbucks</t>
  </si>
  <si>
    <t>https://www.geekwire.com/2026/starbucks-to-cut-61-tech-jobs-at-seattle-hq-in-department-reorganization/</t>
  </si>
  <si>
    <t>https://www.cnbc.com/2026/05/15/starbucks-to-lay-off-300-us-employees-close-some-regional-offices.html</t>
  </si>
  <si>
    <t>komonews.com</t>
  </si>
  <si>
    <t>https://komonews.com/news/local/starbucks-files-another-layoff-notice-for-seattle-hq-200-jobs-affected-coffee-company-employment-economy-nashville-corporate-organization-restructuring-store-tourism-travel-employee</t>
  </si>
  <si>
    <t>Starling Bank</t>
  </si>
  <si>
    <t>https://www.bankingdive.com/news/starling-to-whittle-headcount-by-3/824729/</t>
  </si>
  <si>
    <t>Stelco (Cleveland-Cliffs)</t>
  </si>
  <si>
    <t>https://www.bnnbloomberg.ca/business/company-news/2026/09/29/stelco-to-lay-off-350-steelworkers-at-hamilton-plant-union-says/</t>
  </si>
  <si>
    <t>Stoelzle Glass USA</t>
  </si>
  <si>
    <t>beavercountyradio.com</t>
  </si>
  <si>
    <t>https://beavercountyradio.com/news/temporary-layoffs-occur-at-monaca-glass-plant-during-100-million-renovation/</t>
  </si>
  <si>
    <t>Stone Brewing</t>
  </si>
  <si>
    <t>https://www.foxbusiness.com/lifestyle/stone-brewing-escondido-layoffs-production-shift</t>
  </si>
  <si>
    <t>Streamland Media</t>
  </si>
  <si>
    <t>https://www.warntracker.com/company/streamland-media</t>
  </si>
  <si>
    <t>Sumitomo Mitsui Banking</t>
  </si>
  <si>
    <t>https://www.yahoo.com/news/us/articles/global-banking-firm-trims-75-181044301.html</t>
  </si>
  <si>
    <t>Sunrise</t>
  </si>
  <si>
    <t>https://www.swissinfo.ch/eng/workplace/sunrise-is-reviewing-its-operating-model-and-considering-the-loss-of-up-to-450-jobs/92093311</t>
  </si>
  <si>
    <t>Supermassive Games</t>
  </si>
  <si>
    <t>engadget.com</t>
  </si>
  <si>
    <t>https://www.engadget.com/2234632/supermassive-games-will-lay-off-up-to-75-employees/</t>
  </si>
  <si>
    <t>Superside</t>
  </si>
  <si>
    <t>Swiss Life</t>
  </si>
  <si>
    <t>lifeinsuranceinternational.com</t>
  </si>
  <si>
    <t>https://www.lifeinsuranceinternational.com/news/swiss-life-plans-600-job-cuts/</t>
  </si>
  <si>
    <t>Synopsys</t>
  </si>
  <si>
    <t>T-Mobile</t>
  </si>
  <si>
    <t>https://komonews.com/news/local/t-mobile-closing-stores-in-washington-state-layoff-staff-at-headquarters-office-in-factoria-bellevue-remote-employee-employment-security-department-esd</t>
  </si>
  <si>
    <t>TScan Therapeutics</t>
  </si>
  <si>
    <t>https://www.biospace.com/job-trends/tscan-cuts-75-of-workforce-while-shifting-focus-to-solid-tumor-program</t>
  </si>
  <si>
    <t>Takeda</t>
  </si>
  <si>
    <t>https://www.fiercepharma.com/pharma/takeda-slimming-down-new-era-plots-4500-layoffs-latest-restructuring-drive</t>
  </si>
  <si>
    <t>Target</t>
  </si>
  <si>
    <t>Telefonica</t>
  </si>
  <si>
    <t>Tessera Therapeutics</t>
  </si>
  <si>
    <t>Mar 8</t>
  </si>
  <si>
    <t>Teva</t>
  </si>
  <si>
    <t>https://en.globes.co.il/en/article-teva-to-lay-off-250-in-api-division-in-israel-1001545492</t>
  </si>
  <si>
    <t>Texas Family Initiative</t>
  </si>
  <si>
    <t>The Bancorp</t>
  </si>
  <si>
    <t>https://www.sec.gov/Archives/edgar/data/1295401/000203985226000121/ex99-1.htm</t>
  </si>
  <si>
    <t>The Original Factory Shop</t>
  </si>
  <si>
    <t>https://finance.yahoo.com/news/original-factory-shop-collapses-administration-094200597.html</t>
  </si>
  <si>
    <t>The Trade Desk</t>
  </si>
  <si>
    <t>ppc.land</t>
  </si>
  <si>
    <t>https://ppc.land/trade-desk-cuts-15-of-its-global-workforce-effective-today/</t>
  </si>
  <si>
    <t>Theravance Biopharma</t>
  </si>
  <si>
    <t>Thermo Fisher</t>
  </si>
  <si>
    <t>Feb 2</t>
  </si>
  <si>
    <t>Thinkific</t>
  </si>
  <si>
    <t>betakit.com</t>
  </si>
  <si>
    <t>https://betakit.com/thinkific-lays-off-30-percent-of-employees-as-part-of-enterprise-push/</t>
  </si>
  <si>
    <t>Thomson Reuters</t>
  </si>
  <si>
    <t>https://thenextweb.com/news/thomson-reuters-engineering-layoffs-ai</t>
  </si>
  <si>
    <t>Ticketmaster</t>
  </si>
  <si>
    <t>world.infonasional.com</t>
  </si>
  <si>
    <t>https://world.infonasional.com/ticketmaster-layoffs-ai-restructuring-strategy</t>
  </si>
  <si>
    <t>TikTok</t>
  </si>
  <si>
    <t>https://www.thejournal.ie/tiktok-layoffs-7086833-Jul2026/</t>
  </si>
  <si>
    <t>billboard.com</t>
  </si>
  <si>
    <t>https://www.billboard.com/pro/tiktok-closes-nashville-office-lays-off-staff-music-city/</t>
  </si>
  <si>
    <t>https://www.geekwire.com/2026/tiktok-cuts-75-jobs-in-seattle-area-hitting-e-commerce-teams/</t>
  </si>
  <si>
    <t>Transdev</t>
  </si>
  <si>
    <t>https://www.warntracker.com/company/transdev</t>
  </si>
  <si>
    <t>Trinity Health</t>
  </si>
  <si>
    <t>clickondetroit.com</t>
  </si>
  <si>
    <t>https://www.clickondetroit.com/news/local/2026/09/08/trinity-health-to-cut-over-500-jobs-in-livonia/</t>
  </si>
  <si>
    <t>Trustly</t>
  </si>
  <si>
    <t>tech.eu</t>
  </si>
  <si>
    <t>https://tech.eu/2026/09/17/swedish-fintech-trustly-to-cut-around-200-jobs/</t>
  </si>
  <si>
    <t>Tyson Foods</t>
  </si>
  <si>
    <t>nbcchicago.com</t>
  </si>
  <si>
    <t>https://www.nbcchicago.com/news/local/tyson-foods-abruptly-closing-beef-plant-in-illinois-with-2500-workers-to-lose-their-jobs/3975332/</t>
  </si>
  <si>
    <t>ksl.com</t>
  </si>
  <si>
    <t>https://www.ksl.com/article/51609885/723-jobs-being-lost-as-tyson-foods-closes-eagle-mountain-facility</t>
  </si>
  <si>
    <t>UCare</t>
  </si>
  <si>
    <t>kstp.com</t>
  </si>
  <si>
    <t>https://kstp.com/kstp-news/top-news/ucare-cuts-102-jobs-as-medicaid-contracts-shift-to-medica/</t>
  </si>
  <si>
    <t>UKG</t>
  </si>
  <si>
    <t>https://finance.yahoo.com/markets/stocks/articles/ukg-formerly-ultimate-software-lays-205200750.html</t>
  </si>
  <si>
    <t>UPS</t>
  </si>
  <si>
    <t>USC (University of Southern California)</t>
  </si>
  <si>
    <t>dailynews.com</t>
  </si>
  <si>
    <t>https://www.dailynews.com/2026/09/11/usc-cuts-65-workers-at-viterbi-school-of-engineering/</t>
  </si>
  <si>
    <t>Uber</t>
  </si>
  <si>
    <t>https://www.bloomberg.com/news/articles/2026-06-03/uber-cuts-23-of-people-division-as-new-president-takes-charge</t>
  </si>
  <si>
    <t>https://finance.yahoo.com/markets/stocks/articles/uber-cutting-3-300-jobs-115712298.html</t>
  </si>
  <si>
    <t>Ubisoft</t>
  </si>
  <si>
    <t>https://insider-gaming.com/ubisoft-380-employees/</t>
  </si>
  <si>
    <t>Ubisoft / Red Storm</t>
  </si>
  <si>
    <t>gamedeveloper.com</t>
  </si>
  <si>
    <t>https://www.gamedeveloper.com/business/ubisoft-lays-off-105-staff-at-red-storm-ends-game-development</t>
  </si>
  <si>
    <t>Ultium Cells</t>
  </si>
  <si>
    <t>wfmj.com</t>
  </si>
  <si>
    <t>https://www.wfmj.com/story/53355222/ultium-cells-cuts-1300-jobs-at-lordstown-plant</t>
  </si>
  <si>
    <t>UniCredit</t>
  </si>
  <si>
    <t>United Internet</t>
  </si>
  <si>
    <t>rttnews.com</t>
  </si>
  <si>
    <t>https://www.rttnews.com/3690270/united-internet-backs-fy26-outlook-units-1-1-ag-and-ionos-plan-restructuring-job-cuts.aspx</t>
  </si>
  <si>
    <t>University of Maryland, College Park</t>
  </si>
  <si>
    <t>marylandmatters.org</t>
  </si>
  <si>
    <t>https://marylandmatters.org/2026/06/04/umd-lays-off-84-employees-amongst-period-of-uncertainty/</t>
  </si>
  <si>
    <t>University of Vermont Health Network</t>
  </si>
  <si>
    <t>vtdigger.org</t>
  </si>
  <si>
    <t>https://vtdigger.org/2026/09/15/hundreds-of-layoffs-announced-at-the-two-largest-healthcare-networks/</t>
  </si>
  <si>
    <t>Upwork</t>
  </si>
  <si>
    <t>investors.upwork.com</t>
  </si>
  <si>
    <t>https://investors.upwork.com/news-releases/news-release-details/upwork-reports-first-quarter-2026-financial-results</t>
  </si>
  <si>
    <t>Veritone</t>
  </si>
  <si>
    <t>https://www.sec.gov/Archives/edgar/data/1615165/000162828026042199/veri-20260610.htm</t>
  </si>
  <si>
    <t>Verizon</t>
  </si>
  <si>
    <t>https://www.thestreet.com/employment/verizon-ceo-cuts-to-the-chase-new-layoffs-ai-future</t>
  </si>
  <si>
    <t>https://finance.yahoo.com/markets/stocks/articles/verizon-shed-274-stores-lay-160739807.html</t>
  </si>
  <si>
    <t>Vertex Pharma</t>
  </si>
  <si>
    <t>Viatris</t>
  </si>
  <si>
    <t>Visa</t>
  </si>
  <si>
    <t>https://www.cnbc.com/2026/07/28/visa-is-cutting-7percent-of-employees-in-efficiency-push-as-ai-reshapes-work.html</t>
  </si>
  <si>
    <t>Volkswagen Group</t>
  </si>
  <si>
    <t>digitaljournal.com</t>
  </si>
  <si>
    <t>https://www.digitaljournal.com/world/volkswagen-says-to-cut-50000-jobs-as-profit-slides/article</t>
  </si>
  <si>
    <t>Jun 11</t>
  </si>
  <si>
    <t>timeslive.co.za</t>
  </si>
  <si>
    <t>https://www.timeslive.co.za/motoring/2026-06-11-volkswagen-to-reduce-workforce-by-19000-by-end-of-year/</t>
  </si>
  <si>
    <t>ttnews.com</t>
  </si>
  <si>
    <t>https://www.ttnews.com/articles/volkswagen-board-job-cuts</t>
  </si>
  <si>
    <t>WK Kellogg Co</t>
  </si>
  <si>
    <t>wowt.com</t>
  </si>
  <si>
    <t>https://www.wowt.com/2026/06/01/kelloggs-details-omaha-plant-layoffs-planned-this-summer/</t>
  </si>
  <si>
    <t>Jun 8</t>
  </si>
  <si>
    <t>https://www.actionnews5.com/2026/06/08/memphis-kelloggs-factory-lay-off-100-workers/</t>
  </si>
  <si>
    <t>WME</t>
  </si>
  <si>
    <t>https://deadline.com/2026/03/wme-layoffs-william-morris-endeavor-agency-1236758850/</t>
  </si>
  <si>
    <t>WPP</t>
  </si>
  <si>
    <t>bizcommunity.com</t>
  </si>
  <si>
    <t>https://www.bizcommunity.com/article/wpp-500m-savings-drive-sees-hundreds-of-employees-let-go-064235a</t>
  </si>
  <si>
    <t>mumbrella.com.au</t>
  </si>
  <si>
    <t>https://mumbrella.com.au/wpp-ramps-up-job-cuts-with-up-to-1000-more-roles-axed-935476</t>
  </si>
  <si>
    <t>Walgreens</t>
  </si>
  <si>
    <t>https://www.supplychaindive.com/news/walgreens-layoff-texas-distribution-center-159-employees/812882/</t>
  </si>
  <si>
    <t>Walmart</t>
  </si>
  <si>
    <t>https://www.reuters.com/legal/litigation/walmart-lays-off-or-relocates-about-1000-corporate-workers-wsj-reports-2026-05-12/</t>
  </si>
  <si>
    <t>Washington Post</t>
  </si>
  <si>
    <t>Webflow</t>
  </si>
  <si>
    <t>webflow.com</t>
  </si>
  <si>
    <t>https://webflow.com/blog/evolving-webflow-for-the-agentic-web</t>
  </si>
  <si>
    <t>Wells Fargo</t>
  </si>
  <si>
    <t>Feb 3</t>
  </si>
  <si>
    <t>https://spectrumlocalnews.com/nc/charlotte/news/2026/02/06/raleigh-wells-fargo-layoffs-2026</t>
  </si>
  <si>
    <t>Wellstar Health System</t>
  </si>
  <si>
    <t>wsbtv.com</t>
  </si>
  <si>
    <t>https://www.wsbtv.com/news/local/cobb-county/wellstar-lay-off-almost-800-staff-corporate-offices/CUH4APHFPNBZZLTNHTO7OZFGTY/</t>
  </si>
  <si>
    <t>West Marine</t>
  </si>
  <si>
    <t>freightwaves.com</t>
  </si>
  <si>
    <t>https://www.freightwaves.com/news/freight-distress-report-more-than-7000-jobs-cut-in-new-wave-of-closures</t>
  </si>
  <si>
    <t>Whirlpool</t>
  </si>
  <si>
    <t>kcrg.com</t>
  </si>
  <si>
    <t>https://www.kcrg.com/2026/03/07/whirlpool-amana-layoffs-341-workers-lose-jobs-union-rallies-support/</t>
  </si>
  <si>
    <t>Whitbread</t>
  </si>
  <si>
    <t>https://www.rte.ie/news/business/2026/0430/1571072-premier-inn-owner-whitbread-to-cut-jobs/</t>
  </si>
  <si>
    <t>Whyalla Steelworks (OneSteel)</t>
  </si>
  <si>
    <t>https://www.abc.net.au/news/2026-09-14/hundreds-of-jobs-to-go-at-whyalla-steelworks/107149844</t>
  </si>
  <si>
    <t>WiseTech Global</t>
  </si>
  <si>
    <t>Feb 25</t>
  </si>
  <si>
    <t>https://www.bloomberg.com/news/articles/2026-02-24/wisetech-to-cut-2-000-jobs-as-ai-ends-era-of-manual-coding</t>
  </si>
  <si>
    <t>Wix</t>
  </si>
  <si>
    <t>https://en.globes.co.il/en/article-wix-plans-800-1000-layoffs-1001543841</t>
  </si>
  <si>
    <t>Wonder</t>
  </si>
  <si>
    <t>https://njbiz.com/wonder-layoffs-new-jersey-533-workers/</t>
  </si>
  <si>
    <t>Workday</t>
  </si>
  <si>
    <t>https://finance.yahoo.com/news/workday-doing-another-round-layoffs-212052410.html</t>
  </si>
  <si>
    <t>ZF Active Safety (ZF Group)</t>
  </si>
  <si>
    <t>https://www.insideindianabusiness.com/articles/automotive-technology-company-to-close-lafayette-plant-cut-133-jobs</t>
  </si>
  <si>
    <t>Zalando</t>
  </si>
  <si>
    <t>Jan 8</t>
  </si>
  <si>
    <t>corporate.zalando.com</t>
  </si>
  <si>
    <t>https://corporate.zalando.com/en/convenience/zalando-reshapes-logistics-network-creating-more-value-customers-and-partners</t>
  </si>
  <si>
    <t>Zillow</t>
  </si>
  <si>
    <t>housingwire.com</t>
  </si>
  <si>
    <t>https://www.housingwire.com/articles/zillow-layoffs-restructuring-500/</t>
  </si>
  <si>
    <t>Zomato (Eternal)</t>
  </si>
  <si>
    <t>https://www.businesstoday.in/technology/news/story/zomato-to-layoff-250-employees-shut-hyderabad-customer-support-centre-552227-2026-08-31</t>
  </si>
  <si>
    <t>ZoomInfo</t>
  </si>
  <si>
    <t>https://www.stocktitan.net/sec-filings/GTM/8-k-zoom-info-technologies-inc-reports-material-event-1c8ee7c46b0c.html</t>
  </si>
  <si>
    <t>Zscaler</t>
  </si>
  <si>
    <t>govinfosecurity.com</t>
  </si>
  <si>
    <t>https://www.govinfosecurity.com/zscaler-to-lay-off-3-staff-as-shifts-spend-to-sales-a-32746</t>
  </si>
  <si>
    <t>airBaltic</t>
  </si>
  <si>
    <t>Oct 5</t>
  </si>
  <si>
    <t>aerotime.aero</t>
  </si>
  <si>
    <t>https://www.aerotime.aero/articles/airbaltic-staff-hundreds-job-cuts-riga-vilnius-tallinn</t>
  </si>
  <si>
    <t>bet365</t>
  </si>
  <si>
    <t>racingpost.com</t>
  </si>
  <si>
    <t>https://www.racingpost.com/news/industry/betting-industry/bet365-to-cut-340-jobs-in-latest-blow-from-higher-gambling-taxes-aDMCy8c3OFEs/</t>
  </si>
  <si>
    <t>eBay</t>
  </si>
  <si>
    <t>https://www.cnbc.com/2026/02/26/ebay-layoffs-800-workforce.html</t>
  </si>
  <si>
    <t>iHeartMedia</t>
  </si>
  <si>
    <t>barrettmedia.com</t>
  </si>
  <si>
    <t>https://barrettmedia.com/2026/06/25/iheartmedia-enacting-round-of-layoffs/</t>
  </si>
  <si>
    <t>id Software</t>
  </si>
  <si>
    <t>https://www.gamedeveloper.com/business/report-around-half-of-the-id-software-team-have-been-laid-off</t>
  </si>
  <si>
    <t>monday.com</t>
  </si>
  <si>
    <t>https://en.globes.co.il/en/article-mondaycom-to-lay-off-620-as-it-adapts-to-ai-1001550113</t>
  </si>
  <si>
    <t>xAI</t>
  </si>
  <si>
    <t>futurism.com</t>
  </si>
  <si>
    <t>https://futurism.com/artificial-intelligence/elon-musk-orders-layoffs-xai-coding</t>
  </si>
  <si>
    <t>Check</t>
  </si>
  <si>
    <t>Rows affected</t>
  </si>
  <si>
    <t>Action taken</t>
  </si>
  <si>
    <t>Comment/metadata lines above header</t>
  </si>
  <si>
    <t>Skipped on read</t>
  </si>
  <si>
    <t>Exact duplicate rows</t>
  </si>
  <si>
    <t>Dropped</t>
  </si>
  <si>
    <t>Same company + same date (different sites/sources)</t>
  </si>
  <si>
    <t>Kept - separate events (e.g. Tyson Foods: two plants, two sources)</t>
  </si>
  <si>
    <t>Date given at 'Month' level instead of a day</t>
  </si>
  <si>
    <t>Set to 1st of month; precision flag = 'Month'</t>
  </si>
  <si>
    <t>Date given at 'Year' level instead of a day</t>
  </si>
  <si>
    <t>Date left blank; excluded from monthly trend, kept in totals</t>
  </si>
  <si>
    <t>Date given at 'Multi-year plan' level instead of a day</t>
  </si>
  <si>
    <t>Date left blank; flagged as multi-year program (e.g. Bosch 2025-30)</t>
  </si>
  <si>
    <t>Event date after dataset 'as of' date</t>
  </si>
  <si>
    <t>None found</t>
  </si>
  <si>
    <t>Workforce % stored as text ('7.4%')</t>
  </si>
  <si>
    <t>Converted to decimal fraction (0.074)</t>
  </si>
  <si>
    <t>Workforce % != people_cut / total_workforce (&gt;1pp)</t>
  </si>
  <si>
    <t>None found - source % is consistent</t>
  </si>
  <si>
    <t>100% of workforce cut (business closure)</t>
  </si>
  <si>
    <t>Kept; flagged is_shutdown = 1 so it can be filtered</t>
  </si>
  <si>
    <t>Non-positive headcount values</t>
  </si>
  <si>
    <t>Companies with more than one layoff event</t>
  </si>
  <si>
    <t>Kept all events; added company_event_no / is_repeat_layoffer</t>
  </si>
  <si>
    <t>Industry totals vs publisher's industries-2026.csv</t>
  </si>
  <si>
    <t>All 13 industries reconcile exactly</t>
  </si>
  <si>
    <t>Monthly totals vs publisher's monthly-2026.csv</t>
  </si>
  <si>
    <t>All months reconcile exactly</t>
  </si>
  <si>
    <t>Rows in -&gt; rows out</t>
  </si>
  <si>
    <t>475 clean events, 421 companies</t>
  </si>
  <si>
    <t>Column</t>
  </si>
  <si>
    <t>Description</t>
  </si>
  <si>
    <t>Surrogate key, one row per layoff announcement</t>
  </si>
  <si>
    <t>Company name as reported</t>
  </si>
  <si>
    <t>Industry (13 groups, from source)</t>
  </si>
  <si>
    <t>Tech &amp; Digital (Tech, Crypto &amp; Fintech, Telecom) vs Non-Tech - derived</t>
  </si>
  <si>
    <t>Stated reason: AI-Driven, Restructure, Cost Cut, Weak Demand, Merger</t>
  </si>
  <si>
    <t>1 if the company cited AI/automation as the reason</t>
  </si>
  <si>
    <t>Jobs cut in this announcement</t>
  </si>
  <si>
    <t>Company headcount at time of announcement</t>
  </si>
  <si>
    <t>people_cut / total_workforce (decimal)</t>
  </si>
  <si>
    <t>Announcement date (blank when source gave only a year or multi-year plan)</t>
  </si>
  <si>
    <t>First day of the announcement month - used for monthly trends</t>
  </si>
  <si>
    <t>Day / Month / Year / Multi-year plan - how precise the source date was</t>
  </si>
  <si>
    <t>Readable period, e.g. 'Mar 2026' or '2025-30 program'</t>
  </si>
  <si>
    <t>Date exactly as published in the source</t>
  </si>
  <si>
    <t>Workforce band: &lt;1K, 1K-10K, 10K-50K, 50K-100K, 100K+</t>
  </si>
  <si>
    <t>Share of workforce cut: &lt;5%, 5-10%, 10-25%, 25-99%, Shutdown</t>
  </si>
  <si>
    <t>Jobs cut band: &lt;100, 100-499, 500-999, 1K-4.9K, 5K+</t>
  </si>
  <si>
    <t>1 if 100% of workforce cut (closure)</t>
  </si>
  <si>
    <t>Nth layoff by this company in 2026 (chronological)</t>
  </si>
  <si>
    <t>Total 2026 layoff events by this company</t>
  </si>
  <si>
    <t>1 if the company announced more than one layoff in 2026</t>
  </si>
  <si>
    <t>News media / Government WARN filing / Company (SEC) filing - from URL domain</t>
  </si>
  <si>
    <t>Domain of the source article</t>
  </si>
  <si>
    <t>Link to the original report</t>
  </si>
  <si>
    <t>Source</t>
  </si>
  <si>
    <t>layoffhedge. (2026). 2026 Layoff Dataset. Retrieved 2026-10-06, from https://layoffhedge.com/data/ (free to use with attribution)</t>
  </si>
  <si>
    <t>Macro source</t>
  </si>
  <si>
    <t>U.S. BLS JOLTS (JTSLDL, JTU510099LDL, JTSJOL) and CPS (UNRATE) via FRED, Federal Reserve Bank of St. Louis</t>
  </si>
  <si>
    <t>Grand Total</t>
  </si>
  <si>
    <t>Stated reason</t>
  </si>
  <si>
    <t>PivotTable - jobs cut by industry and stated reason</t>
  </si>
  <si>
    <t>Use the slicers on the right to filter by sector, company size and severity.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</si>
</sst>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5" formatCode="0.0%"/>
    <numFmt numFmtId="166" formatCode="yyyy\-mm\-dd"/>
    <numFmt numFmtId="167" formatCode="mmm\ yyyy"/>
  </numFmts>
  <fonts count="21" x14ac:knownFonts="1">
    <font>
      <sz val="11"/>
      <color theme="1"/>
      <name val="Calibri"/>
      <family val="2"/>
      <scheme val="minor"/>
    </font>
    <font>
      <sz val="10"/>
      <color rgb="FF0B0B0B"/>
      <name val="Arial"/>
    </font>
    <font>
      <b/>
      <sz val="10"/>
      <color rgb="FF0B0B0B"/>
      <name val="Arial"/>
    </font>
    <font>
      <b/>
      <sz val="18"/>
      <color rgb="FF0B0B0B"/>
      <name val="Arial"/>
    </font>
    <font>
      <sz val="10"/>
      <color rgb="FF52514E"/>
      <name val="Arial"/>
    </font>
    <font>
      <b/>
      <sz val="11"/>
      <color rgb="FF0B0B0B"/>
      <name val="Arial"/>
    </font>
    <font>
      <b/>
      <sz val="11"/>
      <color rgb="FF0000FF"/>
      <name val="Arial"/>
    </font>
    <font>
      <sz val="8"/>
      <color rgb="FFFFFFFF"/>
      <name val="Arial"/>
    </font>
    <font>
      <sz val="9"/>
      <color rgb="FF52514E"/>
      <name val="Arial"/>
    </font>
    <font>
      <b/>
      <sz val="16"/>
      <color rgb="FF0B0B0B"/>
      <name val="Arial"/>
    </font>
    <font>
      <b/>
      <sz val="16"/>
      <color rgb="FFEB6834"/>
      <name val="Arial"/>
    </font>
    <font>
      <b/>
      <sz val="12"/>
      <color rgb="FF0B0B0B"/>
      <name val="Arial"/>
    </font>
    <font>
      <b/>
      <sz val="10"/>
      <color rgb="FFFFFFFF"/>
      <name val="Arial"/>
    </font>
    <font>
      <i/>
      <sz val="8"/>
      <color rgb="FF52514E"/>
      <name val="Arial"/>
    </font>
    <font>
      <i/>
      <sz val="9"/>
      <color rgb="FF52514E"/>
      <name val="Arial"/>
    </font>
    <font>
      <b/>
      <sz val="20"/>
      <color rgb="FF0B0B0B"/>
      <name val="Arial"/>
    </font>
    <font>
      <sz val="11"/>
      <color rgb="FF52514E"/>
      <name val="Arial"/>
    </font>
    <font>
      <sz val="11"/>
      <color rgb="FF0B0B0B"/>
      <name val="Arial"/>
    </font>
    <font>
      <i/>
      <sz val="10"/>
      <color rgb="FF52514E"/>
      <name val="Arial"/>
    </font>
    <font>
      <b/>
      <sz val="16"/>
      <color theme="1"/>
      <name val="Calibri"/>
      <family val="2"/>
      <scheme val="minor"/>
    </font>
    <font>
      <i/>
      <sz val="11"/>
      <color theme="1"/>
      <name val="Calibri"/>
      <family val="2"/>
      <scheme val="minor"/>
    </font>
  </fonts>
  <fills count="5">
    <fill>
      <patternFill patternType="none"/>
    </fill>
    <fill>
      <patternFill patternType="gray125"/>
    </fill>
    <fill>
      <patternFill patternType="solid">
        <fgColor rgb="FFFFE3D6"/>
        <bgColor rgb="FFFFE3D6"/>
      </patternFill>
    </fill>
    <fill>
      <patternFill patternType="solid">
        <fgColor rgb="FFF4F3EF"/>
        <bgColor rgb="FFF4F3EF"/>
      </patternFill>
    </fill>
    <fill>
      <patternFill patternType="solid">
        <fgColor rgb="FF0B0B0B"/>
        <bgColor rgb="FF0B0B0B"/>
      </patternFill>
    </fill>
  </fills>
  <borders count="2">
    <border>
      <left/>
      <right/>
      <top/>
      <bottom/>
      <diagonal/>
    </border>
    <border>
      <left/>
      <right/>
      <top/>
      <bottom style="thin">
        <color rgb="FFE6E5E0"/>
      </bottom>
      <diagonal/>
    </border>
  </borders>
  <cellStyleXfs count="1">
    <xf numFmtId="0" fontId="0" fillId="0" borderId="0"/>
  </cellStyleXfs>
  <cellXfs count="44">
    <xf numFmtId="0" fontId="0" fillId="0" borderId="0" xfId="0"/>
    <xf numFmtId="0" fontId="15" fillId="0" borderId="0" xfId="0" applyFont="1"/>
    <xf numFmtId="0" fontId="16" fillId="0" borderId="0" xfId="0" applyFont="1"/>
    <xf numFmtId="0" fontId="11" fillId="0" borderId="0" xfId="0" applyFont="1"/>
    <xf numFmtId="0" fontId="17" fillId="0" borderId="0" xfId="0" applyFont="1"/>
    <xf numFmtId="0" fontId="18" fillId="0" borderId="0" xfId="0" applyFont="1"/>
    <xf numFmtId="0" fontId="8" fillId="0" borderId="0" xfId="0" applyFont="1"/>
    <xf numFmtId="0" fontId="3" fillId="0" borderId="0" xfId="0" applyFont="1"/>
    <xf numFmtId="0" fontId="4" fillId="0" borderId="0" xfId="0" applyFont="1"/>
    <xf numFmtId="0" fontId="5" fillId="0" borderId="0" xfId="0" applyFont="1"/>
    <xf numFmtId="0" fontId="7" fillId="0" borderId="0" xfId="0" applyFont="1"/>
    <xf numFmtId="0" fontId="8" fillId="3" borderId="0" xfId="0" applyFont="1" applyFill="1"/>
    <xf numFmtId="0" fontId="11" fillId="3" borderId="0" xfId="0" applyFont="1" applyFill="1" applyAlignment="1">
      <alignment horizontal="left"/>
    </xf>
    <xf numFmtId="3" fontId="9" fillId="3" borderId="0" xfId="0" applyNumberFormat="1" applyFont="1" applyFill="1" applyAlignment="1">
      <alignment horizontal="left"/>
    </xf>
    <xf numFmtId="3" fontId="10" fillId="3" borderId="0" xfId="0" applyNumberFormat="1" applyFont="1" applyFill="1" applyAlignment="1">
      <alignment horizontal="left"/>
    </xf>
    <xf numFmtId="165" fontId="10" fillId="3" borderId="0" xfId="0" applyNumberFormat="1" applyFont="1" applyFill="1" applyAlignment="1">
      <alignment horizontal="left"/>
    </xf>
    <xf numFmtId="0" fontId="0" fillId="0" borderId="0" xfId="0" applyAlignment="1">
      <alignment horizontal="left"/>
    </xf>
    <xf numFmtId="0" fontId="12" fillId="4" borderId="0" xfId="0" applyFont="1" applyFill="1" applyAlignment="1">
      <alignment horizontal="left" wrapText="1"/>
    </xf>
    <xf numFmtId="0" fontId="12" fillId="4" borderId="0" xfId="0" applyFont="1" applyFill="1" applyAlignment="1">
      <alignment horizontal="center" wrapText="1"/>
    </xf>
    <xf numFmtId="0" fontId="1" fillId="0" borderId="1" xfId="0" applyFont="1" applyBorder="1"/>
    <xf numFmtId="3" fontId="1" fillId="0" borderId="1" xfId="0" applyNumberFormat="1" applyFont="1" applyBorder="1"/>
    <xf numFmtId="165" fontId="1" fillId="0" borderId="1" xfId="0" applyNumberFormat="1" applyFont="1" applyBorder="1"/>
    <xf numFmtId="167" fontId="1" fillId="0" borderId="1" xfId="0" applyNumberFormat="1" applyFont="1" applyBorder="1"/>
    <xf numFmtId="0" fontId="2" fillId="0" borderId="1" xfId="0" applyFont="1" applyBorder="1"/>
    <xf numFmtId="3" fontId="2" fillId="0" borderId="1" xfId="0" applyNumberFormat="1" applyFont="1" applyBorder="1"/>
    <xf numFmtId="165" fontId="2" fillId="0" borderId="1" xfId="0" applyNumberFormat="1" applyFont="1" applyBorder="1"/>
    <xf numFmtId="0" fontId="13" fillId="0" borderId="0" xfId="0" applyFont="1"/>
    <xf numFmtId="0" fontId="14" fillId="0" borderId="0" xfId="0" applyFont="1"/>
    <xf numFmtId="3" fontId="14" fillId="0" borderId="0" xfId="0" applyNumberFormat="1" applyFont="1"/>
    <xf numFmtId="3" fontId="0" fillId="0" borderId="0" xfId="0" applyNumberFormat="1"/>
    <xf numFmtId="165" fontId="0" fillId="0" borderId="0" xfId="0" applyNumberFormat="1"/>
    <xf numFmtId="0" fontId="2" fillId="0" borderId="0" xfId="0" applyFont="1"/>
    <xf numFmtId="0" fontId="1" fillId="0" borderId="0" xfId="0" applyFont="1"/>
    <xf numFmtId="3" fontId="1" fillId="0" borderId="0" xfId="0" applyNumberFormat="1" applyFont="1"/>
    <xf numFmtId="165" fontId="1" fillId="0" borderId="0" xfId="0" applyNumberFormat="1" applyFont="1"/>
    <xf numFmtId="166" fontId="1" fillId="0" borderId="0" xfId="0" applyNumberFormat="1" applyFont="1"/>
    <xf numFmtId="167" fontId="1" fillId="0" borderId="0" xfId="0" applyNumberFormat="1" applyFont="1"/>
    <xf numFmtId="0" fontId="2" fillId="0" borderId="0" xfId="0" applyFont="1" applyAlignment="1">
      <alignment vertical="top" wrapText="1"/>
    </xf>
    <xf numFmtId="0" fontId="1" fillId="0" borderId="0" xfId="0" applyFont="1" applyAlignment="1">
      <alignment vertical="top" wrapText="1"/>
    </xf>
    <xf numFmtId="0" fontId="6" fillId="2" borderId="0" xfId="0" applyFont="1" applyFill="1" applyAlignment="1">
      <alignment horizontal="center"/>
    </xf>
    <xf numFmtId="0" fontId="0" fillId="0" borderId="0" xfId="0"/>
    <xf numFmtId="0" fontId="0" fillId="0" borderId="0" xfId="0" pivotButton="1"/>
    <xf numFmtId="0" fontId="19" fillId="0" borderId="0" xfId="0" applyFont="1"/>
    <xf numFmtId="0" fontId="20"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IN"/>
              <a:t>Jobs cut by stated reason</a:t>
            </a:r>
          </a:p>
        </c:rich>
      </c:tx>
      <c:overlay val="1"/>
    </c:title>
    <c:autoTitleDeleted val="0"/>
    <c:plotArea>
      <c:layout/>
      <c:barChart>
        <c:barDir val="bar"/>
        <c:grouping val="clustered"/>
        <c:varyColors val="1"/>
        <c:ser>
          <c:idx val="0"/>
          <c:order val="0"/>
          <c:tx>
            <c:strRef>
              <c:f>Dashboard!$D$11</c:f>
              <c:strCache>
                <c:ptCount val="1"/>
                <c:pt idx="0">
                  <c:v>Jobs cut</c:v>
                </c:pt>
              </c:strCache>
            </c:strRef>
          </c:tx>
          <c:spPr>
            <a:solidFill>
              <a:srgbClr val="EB6834"/>
            </a:solidFill>
            <a:ln>
              <a:prstDash val="solid"/>
            </a:ln>
          </c:spPr>
          <c:invertIfNegative val="1"/>
          <c:dLbls>
            <c:spPr>
              <a:noFill/>
              <a:ln>
                <a:noFill/>
              </a:ln>
              <a:effectLst/>
            </c:spPr>
            <c:showLegendKey val="0"/>
            <c:showVal val="1"/>
            <c:showCatName val="0"/>
            <c:showSerName val="0"/>
            <c:showPercent val="0"/>
            <c:showBubbleSize val="1"/>
            <c:showLeaderLines val="0"/>
            <c:extLst>
              <c:ext xmlns:c15="http://schemas.microsoft.com/office/drawing/2012/chart" uri="{CE6537A1-D6FC-4f65-9D91-7224C49458BB}">
                <c15:showLeaderLines val="0"/>
              </c:ext>
            </c:extLst>
          </c:dLbls>
          <c:cat>
            <c:strRef>
              <c:f>Dashboard!$B$12:$B$16</c:f>
              <c:strCache>
                <c:ptCount val="5"/>
                <c:pt idx="0">
                  <c:v>AI-Driven</c:v>
                </c:pt>
                <c:pt idx="1">
                  <c:v>Restructure</c:v>
                </c:pt>
                <c:pt idx="2">
                  <c:v>Weak Demand</c:v>
                </c:pt>
                <c:pt idx="3">
                  <c:v>Cost Cut</c:v>
                </c:pt>
                <c:pt idx="4">
                  <c:v>Merger</c:v>
                </c:pt>
              </c:strCache>
            </c:strRef>
          </c:cat>
          <c:val>
            <c:numRef>
              <c:f>Dashboard!$D$12:$D$16</c:f>
              <c:numCache>
                <c:formatCode>#,##0</c:formatCode>
                <c:ptCount val="5"/>
                <c:pt idx="0">
                  <c:v>258829</c:v>
                </c:pt>
                <c:pt idx="1">
                  <c:v>202996</c:v>
                </c:pt>
                <c:pt idx="2">
                  <c:v>88143</c:v>
                </c:pt>
                <c:pt idx="3">
                  <c:v>87145</c:v>
                </c:pt>
                <c:pt idx="4">
                  <c:v>35618</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0-AA8D-4B19-B6E2-471AE05550F3}"/>
            </c:ext>
          </c:extLst>
        </c:ser>
        <c:dLbls>
          <c:showLegendKey val="0"/>
          <c:showVal val="1"/>
          <c:showCatName val="0"/>
          <c:showSerName val="0"/>
          <c:showPercent val="0"/>
          <c:showBubbleSize val="1"/>
        </c:dLbls>
        <c:gapWidth val="150"/>
        <c:axId val="10"/>
        <c:axId val="100"/>
      </c:barChart>
      <c:catAx>
        <c:axId val="10"/>
        <c:scaling>
          <c:orientation val="maxMin"/>
        </c:scaling>
        <c:delete val="0"/>
        <c:axPos val="l"/>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t"/>
        <c:numFmt formatCode="#,##0" sourceLinked="0"/>
        <c:majorTickMark val="none"/>
        <c:minorTickMark val="none"/>
        <c:tickLblPos val="nextTo"/>
        <c:crossAx val="10"/>
        <c:crosses val="autoZero"/>
        <c:crossBetween val="between"/>
      </c:valAx>
    </c:plotArea>
    <c:plotVisOnly val="1"/>
    <c:dispBlanksAs val="gap"/>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IN"/>
              <a:t>Monthly jobs cut: AI-driven vs other</a:t>
            </a:r>
          </a:p>
        </c:rich>
      </c:tx>
      <c:overlay val="1"/>
    </c:title>
    <c:autoTitleDeleted val="0"/>
    <c:plotArea>
      <c:layout/>
      <c:barChart>
        <c:barDir val="col"/>
        <c:grouping val="stacked"/>
        <c:varyColors val="1"/>
        <c:ser>
          <c:idx val="0"/>
          <c:order val="0"/>
          <c:tx>
            <c:strRef>
              <c:f>Dashboard!$J$11</c:f>
              <c:strCache>
                <c:ptCount val="1"/>
                <c:pt idx="0">
                  <c:v>AI-driven</c:v>
                </c:pt>
              </c:strCache>
            </c:strRef>
          </c:tx>
          <c:spPr>
            <a:solidFill>
              <a:srgbClr val="EB6834"/>
            </a:solidFill>
            <a:ln>
              <a:prstDash val="solid"/>
            </a:ln>
          </c:spPr>
          <c:invertIfNegative val="1"/>
          <c:cat>
            <c:numRef>
              <c:f>Dashboard!$H$12:$H$21</c:f>
              <c:numCache>
                <c:formatCode>mmm\ yyyy</c:formatCode>
                <c:ptCount val="10"/>
                <c:pt idx="0">
                  <c:v>46023</c:v>
                </c:pt>
                <c:pt idx="1">
                  <c:v>46054</c:v>
                </c:pt>
                <c:pt idx="2">
                  <c:v>46082</c:v>
                </c:pt>
                <c:pt idx="3">
                  <c:v>46113</c:v>
                </c:pt>
                <c:pt idx="4">
                  <c:v>46143</c:v>
                </c:pt>
                <c:pt idx="5">
                  <c:v>46174</c:v>
                </c:pt>
                <c:pt idx="6">
                  <c:v>46204</c:v>
                </c:pt>
                <c:pt idx="7">
                  <c:v>46235</c:v>
                </c:pt>
                <c:pt idx="8">
                  <c:v>46266</c:v>
                </c:pt>
                <c:pt idx="9">
                  <c:v>46296</c:v>
                </c:pt>
              </c:numCache>
            </c:numRef>
          </c:cat>
          <c:val>
            <c:numRef>
              <c:f>Dashboard!$J$12:$J$21</c:f>
              <c:numCache>
                <c:formatCode>#,##0</c:formatCode>
                <c:ptCount val="10"/>
                <c:pt idx="0">
                  <c:v>52325</c:v>
                </c:pt>
                <c:pt idx="1">
                  <c:v>23812</c:v>
                </c:pt>
                <c:pt idx="2">
                  <c:v>78870</c:v>
                </c:pt>
                <c:pt idx="3">
                  <c:v>26080</c:v>
                </c:pt>
                <c:pt idx="4">
                  <c:v>33256</c:v>
                </c:pt>
                <c:pt idx="5">
                  <c:v>2366</c:v>
                </c:pt>
                <c:pt idx="6">
                  <c:v>9493</c:v>
                </c:pt>
                <c:pt idx="7">
                  <c:v>260</c:v>
                </c:pt>
                <c:pt idx="8">
                  <c:v>707</c:v>
                </c:pt>
                <c:pt idx="9">
                  <c:v>660</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0-DA68-43F4-AE5A-27A705DABD74}"/>
            </c:ext>
          </c:extLst>
        </c:ser>
        <c:ser>
          <c:idx val="1"/>
          <c:order val="1"/>
          <c:tx>
            <c:strRef>
              <c:f>Dashboard!$K$11</c:f>
              <c:strCache>
                <c:ptCount val="1"/>
                <c:pt idx="0">
                  <c:v>Other</c:v>
                </c:pt>
              </c:strCache>
            </c:strRef>
          </c:tx>
          <c:spPr>
            <a:solidFill>
              <a:srgbClr val="C9C8C2"/>
            </a:solidFill>
            <a:ln>
              <a:prstDash val="solid"/>
            </a:ln>
          </c:spPr>
          <c:invertIfNegative val="1"/>
          <c:cat>
            <c:numRef>
              <c:f>Dashboard!$H$12:$H$21</c:f>
              <c:numCache>
                <c:formatCode>mmm\ yyyy</c:formatCode>
                <c:ptCount val="10"/>
                <c:pt idx="0">
                  <c:v>46023</c:v>
                </c:pt>
                <c:pt idx="1">
                  <c:v>46054</c:v>
                </c:pt>
                <c:pt idx="2">
                  <c:v>46082</c:v>
                </c:pt>
                <c:pt idx="3">
                  <c:v>46113</c:v>
                </c:pt>
                <c:pt idx="4">
                  <c:v>46143</c:v>
                </c:pt>
                <c:pt idx="5">
                  <c:v>46174</c:v>
                </c:pt>
                <c:pt idx="6">
                  <c:v>46204</c:v>
                </c:pt>
                <c:pt idx="7">
                  <c:v>46235</c:v>
                </c:pt>
                <c:pt idx="8">
                  <c:v>46266</c:v>
                </c:pt>
                <c:pt idx="9">
                  <c:v>46296</c:v>
                </c:pt>
              </c:numCache>
            </c:numRef>
          </c:cat>
          <c:val>
            <c:numRef>
              <c:f>Dashboard!$K$12:$K$21</c:f>
              <c:numCache>
                <c:formatCode>#,##0</c:formatCode>
                <c:ptCount val="10"/>
                <c:pt idx="0">
                  <c:v>37117</c:v>
                </c:pt>
                <c:pt idx="1">
                  <c:v>12208</c:v>
                </c:pt>
                <c:pt idx="2">
                  <c:v>63462</c:v>
                </c:pt>
                <c:pt idx="3">
                  <c:v>17308</c:v>
                </c:pt>
                <c:pt idx="4">
                  <c:v>50055</c:v>
                </c:pt>
                <c:pt idx="5">
                  <c:v>45517</c:v>
                </c:pt>
                <c:pt idx="6">
                  <c:v>30672</c:v>
                </c:pt>
                <c:pt idx="7">
                  <c:v>21163</c:v>
                </c:pt>
                <c:pt idx="8">
                  <c:v>100909</c:v>
                </c:pt>
                <c:pt idx="9">
                  <c:v>1671</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1-DA68-43F4-AE5A-27A705DABD74}"/>
            </c:ext>
          </c:extLst>
        </c:ser>
        <c:dLbls>
          <c:showLegendKey val="0"/>
          <c:showVal val="0"/>
          <c:showCatName val="0"/>
          <c:showSerName val="0"/>
          <c:showPercent val="0"/>
          <c:showBubbleSize val="0"/>
        </c:dLbls>
        <c:gapWidth val="150"/>
        <c:overlap val="100"/>
        <c:axId val="10"/>
        <c:axId val="100"/>
      </c:barChart>
      <c:dateAx>
        <c:axId val="10"/>
        <c:scaling>
          <c:orientation val="minMax"/>
        </c:scaling>
        <c:delete val="0"/>
        <c:axPos val="b"/>
        <c:numFmt formatCode="mmm" sourceLinked="0"/>
        <c:majorTickMark val="none"/>
        <c:minorTickMark val="none"/>
        <c:tickLblPos val="nextTo"/>
        <c:crossAx val="100"/>
        <c:crosses val="autoZero"/>
        <c:auto val="1"/>
        <c:lblOffset val="100"/>
        <c:baseTimeUnit val="months"/>
      </c:dateAx>
      <c:valAx>
        <c:axId val="100"/>
        <c:scaling>
          <c:orientation val="minMax"/>
        </c:scaling>
        <c:delete val="0"/>
        <c:axPos val="l"/>
        <c:majorGridlines/>
        <c:numFmt formatCode="#,##0" sourceLinked="0"/>
        <c:majorTickMark val="none"/>
        <c:minorTickMark val="none"/>
        <c:tickLblPos val="nextTo"/>
        <c:crossAx val="10"/>
        <c:crosses val="autoZero"/>
        <c:crossBetween val="between"/>
      </c:valAx>
    </c:plotArea>
    <c:legend>
      <c:legendPos val="r"/>
      <c:overlay val="1"/>
    </c:legend>
    <c:plotVisOnly val="1"/>
    <c:dispBlanksAs val="gap"/>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IN"/>
              <a:t>AI share of job cuts by industry</a:t>
            </a:r>
          </a:p>
        </c:rich>
      </c:tx>
      <c:overlay val="1"/>
    </c:title>
    <c:autoTitleDeleted val="0"/>
    <c:plotArea>
      <c:layout/>
      <c:barChart>
        <c:barDir val="bar"/>
        <c:grouping val="clustered"/>
        <c:varyColors val="1"/>
        <c:ser>
          <c:idx val="0"/>
          <c:order val="0"/>
          <c:tx>
            <c:strRef>
              <c:f>Dashboard!$F$24</c:f>
              <c:strCache>
                <c:ptCount val="1"/>
                <c:pt idx="0">
                  <c:v>AI share</c:v>
                </c:pt>
              </c:strCache>
            </c:strRef>
          </c:tx>
          <c:spPr>
            <a:solidFill>
              <a:srgbClr val="EB6834"/>
            </a:solidFill>
            <a:ln>
              <a:prstDash val="solid"/>
            </a:ln>
          </c:spPr>
          <c:invertIfNegative val="1"/>
          <c:dLbls>
            <c:spPr>
              <a:noFill/>
              <a:ln>
                <a:noFill/>
              </a:ln>
              <a:effectLst/>
            </c:spPr>
            <c:showLegendKey val="0"/>
            <c:showVal val="1"/>
            <c:showCatName val="0"/>
            <c:showSerName val="0"/>
            <c:showPercent val="0"/>
            <c:showBubbleSize val="1"/>
            <c:showLeaderLines val="0"/>
            <c:extLst>
              <c:ext xmlns:c15="http://schemas.microsoft.com/office/drawing/2012/chart" uri="{CE6537A1-D6FC-4f65-9D91-7224C49458BB}">
                <c15:showLeaderLines val="0"/>
              </c:ext>
            </c:extLst>
          </c:dLbls>
          <c:cat>
            <c:strRef>
              <c:f>Dashboard!$B$25:$B$37</c:f>
              <c:strCache>
                <c:ptCount val="13"/>
                <c:pt idx="0">
                  <c:v>Automotive &amp; Transportation</c:v>
                </c:pt>
                <c:pt idx="1">
                  <c:v>Consumer Goods</c:v>
                </c:pt>
                <c:pt idx="2">
                  <c:v>Crypto &amp; Fintech</c:v>
                </c:pt>
                <c:pt idx="3">
                  <c:v>Education</c:v>
                </c:pt>
                <c:pt idx="4">
                  <c:v>Energy</c:v>
                </c:pt>
                <c:pt idx="5">
                  <c:v>Finance &amp; Banking</c:v>
                </c:pt>
                <c:pt idx="6">
                  <c:v>Government &amp; Nonprofit</c:v>
                </c:pt>
                <c:pt idx="7">
                  <c:v>Healthcare &amp; Pharma</c:v>
                </c:pt>
                <c:pt idx="8">
                  <c:v>Manufacturing</c:v>
                </c:pt>
                <c:pt idx="9">
                  <c:v>Media &amp; Entertainment</c:v>
                </c:pt>
                <c:pt idx="10">
                  <c:v>Retail</c:v>
                </c:pt>
                <c:pt idx="11">
                  <c:v>Tech</c:v>
                </c:pt>
                <c:pt idx="12">
                  <c:v>Telecom</c:v>
                </c:pt>
              </c:strCache>
            </c:strRef>
          </c:cat>
          <c:val>
            <c:numRef>
              <c:f>Dashboard!$F$25:$F$37</c:f>
              <c:numCache>
                <c:formatCode>0.0%</c:formatCode>
                <c:ptCount val="13"/>
                <c:pt idx="0">
                  <c:v>0.1618229854689564</c:v>
                </c:pt>
                <c:pt idx="1">
                  <c:v>0.3126099019186433</c:v>
                </c:pt>
                <c:pt idx="2">
                  <c:v>0.81849880712057255</c:v>
                </c:pt>
                <c:pt idx="3">
                  <c:v>0</c:v>
                </c:pt>
                <c:pt idx="4">
                  <c:v>0.13978494623655913</c:v>
                </c:pt>
                <c:pt idx="5">
                  <c:v>0.72354961979387811</c:v>
                </c:pt>
                <c:pt idx="6">
                  <c:v>0</c:v>
                </c:pt>
                <c:pt idx="7">
                  <c:v>0</c:v>
                </c:pt>
                <c:pt idx="8">
                  <c:v>0.14044505477357136</c:v>
                </c:pt>
                <c:pt idx="9">
                  <c:v>9.958827462434458E-2</c:v>
                </c:pt>
                <c:pt idx="10">
                  <c:v>7.792369711578423E-2</c:v>
                </c:pt>
                <c:pt idx="11">
                  <c:v>0.73492044611349949</c:v>
                </c:pt>
                <c:pt idx="12">
                  <c:v>2.3260169301071242E-2</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0-E1A4-4D75-8AC6-B6D5EA810ABE}"/>
            </c:ext>
          </c:extLst>
        </c:ser>
        <c:dLbls>
          <c:showLegendKey val="0"/>
          <c:showVal val="1"/>
          <c:showCatName val="0"/>
          <c:showSerName val="0"/>
          <c:showPercent val="0"/>
          <c:showBubbleSize val="1"/>
        </c:dLbls>
        <c:gapWidth val="150"/>
        <c:axId val="10"/>
        <c:axId val="100"/>
      </c:barChart>
      <c:catAx>
        <c:axId val="10"/>
        <c:scaling>
          <c:orientation val="maxMin"/>
        </c:scaling>
        <c:delete val="0"/>
        <c:axPos val="l"/>
        <c:numFmt formatCode="General" sourceLinked="1"/>
        <c:majorTickMark val="none"/>
        <c:minorTickMark val="none"/>
        <c:tickLblPos val="nextTo"/>
        <c:crossAx val="100"/>
        <c:crosses val="autoZero"/>
        <c:auto val="1"/>
        <c:lblAlgn val="ctr"/>
        <c:lblOffset val="100"/>
        <c:noMultiLvlLbl val="1"/>
      </c:catAx>
      <c:valAx>
        <c:axId val="100"/>
        <c:scaling>
          <c:orientation val="minMax"/>
          <c:max val="1"/>
          <c:min val="0"/>
        </c:scaling>
        <c:delete val="1"/>
        <c:axPos val="t"/>
        <c:numFmt formatCode="0%" sourceLinked="0"/>
        <c:majorTickMark val="none"/>
        <c:minorTickMark val="none"/>
        <c:tickLblPos val="nextTo"/>
        <c:crossAx val="10"/>
        <c:crosses val="autoZero"/>
        <c:crossBetween val="between"/>
      </c:valAx>
    </c:plotArea>
    <c:plotVisOnly val="1"/>
    <c:dispBlanksAs val="gap"/>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7</xdr:col>
      <xdr:colOff>0</xdr:colOff>
      <xdr:row>38</xdr:row>
      <xdr:rowOff>0</xdr:rowOff>
    </xdr:from>
    <xdr:ext cx="5400000" cy="2700000"/>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7</xdr:col>
      <xdr:colOff>0</xdr:colOff>
      <xdr:row>22</xdr:row>
      <xdr:rowOff>0</xdr:rowOff>
    </xdr:from>
    <xdr:ext cx="5400000" cy="2700000"/>
    <xdr:graphicFrame macro="">
      <xdr:nvGraphicFramePr>
        <xdr:cNvPr id="3" name="Chart 2">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oneCellAnchor>
    <xdr:from>
      <xdr:col>1</xdr:col>
      <xdr:colOff>0</xdr:colOff>
      <xdr:row>39</xdr:row>
      <xdr:rowOff>0</xdr:rowOff>
    </xdr:from>
    <xdr:ext cx="5400000" cy="3240000"/>
    <xdr:graphicFrame macro="">
      <xdr:nvGraphicFramePr>
        <xdr:cNvPr id="4" name="Chart 3">
          <a:extLst>
            <a:ext uri="{FF2B5EF4-FFF2-40B4-BE49-F238E27FC236}">
              <a16:creationId xmlns:a16="http://schemas.microsoft.com/office/drawing/2014/main" id="{00000000-0008-0000-01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oneCellAnchor>
</xdr:wsDr>
</file>

<file path=xl/drawings/drawing2.xml><?xml version="1.0" encoding="utf-8"?>
<xdr:wsDr xmlns:xdr="http://schemas.openxmlformats.org/drawingml/2006/spreadsheetDrawing" xmlns:a="http://schemas.openxmlformats.org/drawingml/2006/main">
  <xdr:twoCellAnchor editAs="oneCell">
    <xdr:from>
      <xdr:col>10</xdr:col>
      <xdr:colOff>558800</xdr:colOff>
      <xdr:row>6</xdr:row>
      <xdr:rowOff>0</xdr:rowOff>
    </xdr:from>
    <xdr:to>
      <xdr:col>14</xdr:col>
      <xdr:colOff>152400</xdr:colOff>
      <xdr:row>13</xdr:row>
      <xdr:rowOff>63500</xdr:rowOff>
    </xdr:to>
    <mc:AlternateContent xmlns:mc="http://schemas.openxmlformats.org/markup-compatibility/2006">
      <mc:Choice xmlns:a14="http://schemas.microsoft.com/office/drawing/2010/main" Requires="a14">
        <xdr:graphicFrame macro="">
          <xdr:nvGraphicFramePr>
            <xdr:cNvPr id="2" name="slSector">
              <a:extLst>
                <a:ext uri="{FF2B5EF4-FFF2-40B4-BE49-F238E27FC236}">
                  <a16:creationId xmlns:a16="http://schemas.microsoft.com/office/drawing/2014/main" id="{C06BAEF6-9F23-8ED3-8DEB-2A61EEF9963B}"/>
                </a:ext>
              </a:extLst>
            </xdr:cNvPr>
            <xdr:cNvGraphicFramePr/>
          </xdr:nvGraphicFramePr>
          <xdr:xfrm>
            <a:off x="0" y="0"/>
            <a:ext cx="0" cy="0"/>
          </xdr:xfrm>
          <a:graphic>
            <a:graphicData uri="http://schemas.microsoft.com/office/drawing/2010/slicer">
              <sle:slicer xmlns:sle="http://schemas.microsoft.com/office/drawing/2010/slicer" name="slSector"/>
            </a:graphicData>
          </a:graphic>
        </xdr:graphicFrame>
      </mc:Choice>
      <mc:Fallback>
        <xdr:sp macro="" textlink="">
          <xdr:nvSpPr>
            <xdr:cNvPr id="0" name=""/>
            <xdr:cNvSpPr>
              <a:spLocks noTextEdit="1"/>
            </xdr:cNvSpPr>
          </xdr:nvSpPr>
          <xdr:spPr>
            <a:xfrm>
              <a:off x="10160000" y="1219200"/>
              <a:ext cx="2032000" cy="139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558800</xdr:colOff>
      <xdr:row>14</xdr:row>
      <xdr:rowOff>0</xdr:rowOff>
    </xdr:from>
    <xdr:to>
      <xdr:col>14</xdr:col>
      <xdr:colOff>152400</xdr:colOff>
      <xdr:row>25</xdr:row>
      <xdr:rowOff>63500</xdr:rowOff>
    </xdr:to>
    <mc:AlternateContent xmlns:mc="http://schemas.openxmlformats.org/markup-compatibility/2006">
      <mc:Choice xmlns:a14="http://schemas.microsoft.com/office/drawing/2010/main" Requires="a14">
        <xdr:graphicFrame macro="">
          <xdr:nvGraphicFramePr>
            <xdr:cNvPr id="3" name="slSize">
              <a:extLst>
                <a:ext uri="{FF2B5EF4-FFF2-40B4-BE49-F238E27FC236}">
                  <a16:creationId xmlns:a16="http://schemas.microsoft.com/office/drawing/2014/main" id="{57F7E905-C6C2-F415-41A2-8494A4A7B768}"/>
                </a:ext>
              </a:extLst>
            </xdr:cNvPr>
            <xdr:cNvGraphicFramePr/>
          </xdr:nvGraphicFramePr>
          <xdr:xfrm>
            <a:off x="0" y="0"/>
            <a:ext cx="0" cy="0"/>
          </xdr:xfrm>
          <a:graphic>
            <a:graphicData uri="http://schemas.microsoft.com/office/drawing/2010/slicer">
              <sle:slicer xmlns:sle="http://schemas.microsoft.com/office/drawing/2010/slicer" name="slSize"/>
            </a:graphicData>
          </a:graphic>
        </xdr:graphicFrame>
      </mc:Choice>
      <mc:Fallback>
        <xdr:sp macro="" textlink="">
          <xdr:nvSpPr>
            <xdr:cNvPr id="0" name=""/>
            <xdr:cNvSpPr>
              <a:spLocks noTextEdit="1"/>
            </xdr:cNvSpPr>
          </xdr:nvSpPr>
          <xdr:spPr>
            <a:xfrm>
              <a:off x="10160000" y="2743200"/>
              <a:ext cx="2032000" cy="2159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558800</xdr:colOff>
      <xdr:row>26</xdr:row>
      <xdr:rowOff>0</xdr:rowOff>
    </xdr:from>
    <xdr:to>
      <xdr:col>14</xdr:col>
      <xdr:colOff>152400</xdr:colOff>
      <xdr:row>37</xdr:row>
      <xdr:rowOff>63500</xdr:rowOff>
    </xdr:to>
    <mc:AlternateContent xmlns:mc="http://schemas.openxmlformats.org/markup-compatibility/2006">
      <mc:Choice xmlns:a14="http://schemas.microsoft.com/office/drawing/2010/main" Requires="a14">
        <xdr:graphicFrame macro="">
          <xdr:nvGraphicFramePr>
            <xdr:cNvPr id="4" name="slSeverity">
              <a:extLst>
                <a:ext uri="{FF2B5EF4-FFF2-40B4-BE49-F238E27FC236}">
                  <a16:creationId xmlns:a16="http://schemas.microsoft.com/office/drawing/2014/main" id="{F9148C8A-3F7F-709C-423F-CB01DC4994A9}"/>
                </a:ext>
              </a:extLst>
            </xdr:cNvPr>
            <xdr:cNvGraphicFramePr/>
          </xdr:nvGraphicFramePr>
          <xdr:xfrm>
            <a:off x="0" y="0"/>
            <a:ext cx="0" cy="0"/>
          </xdr:xfrm>
          <a:graphic>
            <a:graphicData uri="http://schemas.microsoft.com/office/drawing/2010/slicer">
              <sle:slicer xmlns:sle="http://schemas.microsoft.com/office/drawing/2010/slicer" name="slSeverity"/>
            </a:graphicData>
          </a:graphic>
        </xdr:graphicFrame>
      </mc:Choice>
      <mc:Fallback>
        <xdr:sp macro="" textlink="">
          <xdr:nvSpPr>
            <xdr:cNvPr id="0" name=""/>
            <xdr:cNvSpPr>
              <a:spLocks noTextEdit="1"/>
            </xdr:cNvSpPr>
          </xdr:nvSpPr>
          <xdr:spPr>
            <a:xfrm>
              <a:off x="10160000" y="5029200"/>
              <a:ext cx="2032000" cy="2159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atim Asgar" refreshedDate="46302.499338194444" createdVersion="8" refreshedVersion="8" minRefreshableVersion="3" recordCount="475" xr:uid="{8A9338DC-B0E6-4FFA-A9B1-5554C722BF93}">
  <cacheSource type="worksheet">
    <worksheetSource name="tblLayoffs"/>
  </cacheSource>
  <cacheFields count="24">
    <cacheField name="event_id" numFmtId="0">
      <sharedItems containsSemiMixedTypes="0" containsString="0" containsNumber="1" containsInteger="1" minValue="1" maxValue="475"/>
    </cacheField>
    <cacheField name="company" numFmtId="0">
      <sharedItems/>
    </cacheField>
    <cacheField name="industry" numFmtId="0">
      <sharedItems count="13">
        <s v="Healthcare &amp; Pharma"/>
        <s v="Tech"/>
        <s v="Government &amp; Nonprofit"/>
        <s v="Finance &amp; Banking"/>
        <s v="Automotive &amp; Transportation"/>
        <s v="Manufacturing"/>
        <s v="Consumer Goods"/>
        <s v="Retail"/>
        <s v="Media &amp; Entertainment"/>
        <s v="Crypto &amp; Fintech"/>
        <s v="Telecom"/>
        <s v="Energy"/>
        <s v="Education"/>
      </sharedItems>
    </cacheField>
    <cacheField name="sector_group" numFmtId="0">
      <sharedItems count="2">
        <s v="Non-Tech"/>
        <s v="Tech &amp; Digital"/>
      </sharedItems>
    </cacheField>
    <cacheField name="category_label" numFmtId="0">
      <sharedItems count="5">
        <s v="Restructure"/>
        <s v="AI-Driven"/>
        <s v="Cost Cut"/>
        <s v="Weak Demand"/>
        <s v="Merger"/>
      </sharedItems>
    </cacheField>
    <cacheField name="is_ai_driven" numFmtId="0">
      <sharedItems containsSemiMixedTypes="0" containsString="0" containsNumber="1" containsInteger="1" minValue="0" maxValue="1"/>
    </cacheField>
    <cacheField name="people_cut" numFmtId="3">
      <sharedItems containsSemiMixedTypes="0" containsString="0" containsNumber="1" containsInteger="1" minValue="19" maxValue="50000"/>
    </cacheField>
    <cacheField name="total_workforce" numFmtId="3">
      <sharedItems containsSemiMixedTypes="0" containsString="0" containsNumber="1" containsInteger="1" minValue="25" maxValue="2100000"/>
    </cacheField>
    <cacheField name="workforce_pct" numFmtId="165">
      <sharedItems containsSemiMixedTypes="0" containsString="0" containsNumber="1" minValue="0" maxValue="1"/>
    </cacheField>
    <cacheField name="event_date" numFmtId="166">
      <sharedItems containsNonDate="0" containsDate="1" containsString="0" containsBlank="1" minDate="2026-01-01T00:00:00" maxDate="2026-10-07T00:00:00"/>
    </cacheField>
    <cacheField name="month_start" numFmtId="167">
      <sharedItems containsNonDate="0" containsDate="1" containsString="0" containsBlank="1" minDate="2026-01-01T00:00:00" maxDate="2026-10-02T00:00:00"/>
    </cacheField>
    <cacheField name="date_precision" numFmtId="0">
      <sharedItems/>
    </cacheField>
    <cacheField name="period_label" numFmtId="0">
      <sharedItems/>
    </cacheField>
    <cacheField name="date_raw" numFmtId="0">
      <sharedItems/>
    </cacheField>
    <cacheField name="company_size_band" numFmtId="0">
      <sharedItems count="5">
        <s v="3 - 10K-50K"/>
        <s v="1 - &lt;1K"/>
        <s v="5 - 100K+"/>
        <s v="2 - 1K-10K"/>
        <s v="4 - 50K-100K"/>
      </sharedItems>
    </cacheField>
    <cacheField name="severity_band" numFmtId="0">
      <sharedItems count="5">
        <s v="2 - 5-10%"/>
        <s v="4 - 25-99%"/>
        <s v="1 - &lt;5%"/>
        <s v="3 - 10-25%"/>
        <s v="5 - Shutdown"/>
      </sharedItems>
    </cacheField>
    <cacheField name="layoff_size_band" numFmtId="0">
      <sharedItems/>
    </cacheField>
    <cacheField name="is_shutdown" numFmtId="0">
      <sharedItems containsSemiMixedTypes="0" containsString="0" containsNumber="1" containsInteger="1" minValue="0" maxValue="1"/>
    </cacheField>
    <cacheField name="company_event_no" numFmtId="0">
      <sharedItems containsSemiMixedTypes="0" containsString="0" containsNumber="1" containsInteger="1" minValue="1" maxValue="5"/>
    </cacheField>
    <cacheField name="company_event_count" numFmtId="0">
      <sharedItems containsSemiMixedTypes="0" containsString="0" containsNumber="1" containsInteger="1" minValue="1" maxValue="5"/>
    </cacheField>
    <cacheField name="is_repeat_layoffer" numFmtId="0">
      <sharedItems containsSemiMixedTypes="0" containsString="0" containsNumber="1" containsInteger="1" minValue="0" maxValue="1"/>
    </cacheField>
    <cacheField name="source_type" numFmtId="0">
      <sharedItems/>
    </cacheField>
    <cacheField name="source_domain" numFmtId="0">
      <sharedItems/>
    </cacheField>
    <cacheField name="source_url" numFmtId="0">
      <sharedItems/>
    </cacheField>
  </cacheFields>
  <extLst>
    <ext xmlns:x14="http://schemas.microsoft.com/office/spreadsheetml/2009/9/main" uri="{725AE2AE-9491-48be-B2B4-4EB974FC3084}">
      <x14:pivotCacheDefinition pivotCacheId="151707359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75">
  <r>
    <n v="1"/>
    <s v="24Hr HomeCare"/>
    <x v="0"/>
    <x v="0"/>
    <x v="0"/>
    <n v="0"/>
    <n v="738"/>
    <n v="13000"/>
    <n v="5.7000000000000002E-2"/>
    <d v="2026-08-31T00:00:00"/>
    <d v="2026-08-01T00:00:00"/>
    <s v="Day"/>
    <s v="Aug 2026"/>
    <s v="Aug 31"/>
    <x v="0"/>
    <x v="0"/>
    <s v="3 - 500-999"/>
    <n v="0"/>
    <n v="1"/>
    <n v="1"/>
    <n v="0"/>
    <s v="Government / WARN filing"/>
    <s v="edd.ca.gov"/>
    <s v="https://edd.ca.gov/en/jobs_and_training/Layoff_Services_WARN/"/>
  </r>
  <r>
    <n v="2"/>
    <s v="AI21 Labs"/>
    <x v="1"/>
    <x v="1"/>
    <x v="1"/>
    <n v="1"/>
    <n v="110"/>
    <n v="180"/>
    <n v="0.61099999999999999"/>
    <d v="2026-05-18T00:00:00"/>
    <d v="2026-05-01T00:00:00"/>
    <s v="Day"/>
    <s v="May 2026"/>
    <s v="May 18"/>
    <x v="1"/>
    <x v="1"/>
    <s v="2 - 100-499"/>
    <n v="0"/>
    <n v="1"/>
    <n v="1"/>
    <n v="0"/>
    <s v="News media"/>
    <s v="calcalistech.com"/>
    <s v="https://www.calcalistech.com/ctechnews/article/rjwumhukfx"/>
  </r>
  <r>
    <n v="3"/>
    <s v="ASML"/>
    <x v="1"/>
    <x v="1"/>
    <x v="0"/>
    <n v="0"/>
    <n v="1700"/>
    <n v="44000"/>
    <n v="3.9E-2"/>
    <d v="2026-01-01T00:00:00"/>
    <d v="2026-01-01T00:00:00"/>
    <s v="Month"/>
    <s v="Jan 2026"/>
    <s v="Jan 2026"/>
    <x v="0"/>
    <x v="2"/>
    <s v="4 - 1K-4.9K"/>
    <n v="0"/>
    <n v="1"/>
    <n v="1"/>
    <n v="0"/>
    <s v="News media"/>
    <s v="informationweek.com"/>
    <s v="https://www.informationweek.com/it-staffing-careers/2026-tech-company-layoffs"/>
  </r>
  <r>
    <n v="4"/>
    <s v="Abbott House"/>
    <x v="2"/>
    <x v="0"/>
    <x v="0"/>
    <n v="0"/>
    <n v="162"/>
    <n v="500"/>
    <n v="0.32400000000000001"/>
    <d v="2026-03-01T00:00:00"/>
    <d v="2026-03-01T00:00:00"/>
    <s v="Month"/>
    <s v="Mar 2026"/>
    <s v="Mar 2026"/>
    <x v="1"/>
    <x v="1"/>
    <s v="2 - 100-499"/>
    <n v="0"/>
    <n v="1"/>
    <n v="1"/>
    <n v="0"/>
    <s v="News media"/>
    <s v="newsweek.com"/>
    <s v="https://www.newsweek.com/list-of-companies-doing-layoffs-in-march-11569808"/>
  </r>
  <r>
    <n v="5"/>
    <s v="Accenture"/>
    <x v="1"/>
    <x v="1"/>
    <x v="1"/>
    <n v="1"/>
    <n v="11000"/>
    <n v="750000"/>
    <n v="1.4999999999999999E-2"/>
    <m/>
    <m/>
    <s v="Year"/>
    <s v="2026 (no month)"/>
    <s v="2026"/>
    <x v="2"/>
    <x v="2"/>
    <s v="5 - 5K+"/>
    <n v="0"/>
    <n v="1"/>
    <n v="1"/>
    <n v="0"/>
    <s v="News media"/>
    <s v="intellizence.com"/>
    <s v="https://intellizence.com/insights/layoff-downsizing/major-companies-that-announced-mass-layoffs/"/>
  </r>
  <r>
    <n v="6"/>
    <s v="Acrisure"/>
    <x v="3"/>
    <x v="0"/>
    <x v="1"/>
    <n v="1"/>
    <n v="2250"/>
    <n v="20450"/>
    <n v="0.11"/>
    <d v="2026-05-20T00:00:00"/>
    <d v="2026-05-01T00:00:00"/>
    <s v="Day"/>
    <s v="May 2026"/>
    <s v="May 20"/>
    <x v="0"/>
    <x v="3"/>
    <s v="4 - 1K-4.9K"/>
    <n v="0"/>
    <n v="1"/>
    <n v="1"/>
    <n v="0"/>
    <s v="News media"/>
    <s v="theinsurer.com"/>
    <s v="https://www.theinsurer.com/ti/news/exclusive-acrisure-to-cut-2250-jobs-as-williams-ties-layoffs-to-ai-and-2026-05-20/"/>
  </r>
  <r>
    <n v="7"/>
    <s v="Aer Lingus"/>
    <x v="4"/>
    <x v="0"/>
    <x v="2"/>
    <n v="0"/>
    <n v="500"/>
    <n v="6000"/>
    <n v="8.3000000000000004E-2"/>
    <d v="2026-07-16T00:00:00"/>
    <d v="2026-07-01T00:00:00"/>
    <s v="Day"/>
    <s v="Jul 2026"/>
    <s v="Jul 16"/>
    <x v="3"/>
    <x v="0"/>
    <s v="3 - 500-999"/>
    <n v="0"/>
    <n v="1"/>
    <n v="1"/>
    <n v="0"/>
    <s v="News media"/>
    <s v="rte.ie"/>
    <s v="https://www.rte.ie/news/2026/0716/1583614-aer-lingus-jobs/"/>
  </r>
  <r>
    <n v="8"/>
    <s v="Alameda Health System"/>
    <x v="0"/>
    <x v="0"/>
    <x v="2"/>
    <n v="0"/>
    <n v="240"/>
    <n v="6000"/>
    <n v="0.04"/>
    <d v="2026-03-09T00:00:00"/>
    <d v="2026-03-01T00:00:00"/>
    <s v="Day"/>
    <s v="Mar 2026"/>
    <s v="Mar 9"/>
    <x v="3"/>
    <x v="2"/>
    <s v="2 - 100-499"/>
    <n v="0"/>
    <n v="1"/>
    <n v="1"/>
    <n v="0"/>
    <s v="News media"/>
    <s v="newsweek.com"/>
    <s v="https://www.newsweek.com/list-of-companies-doing-layoffs-in-march-11569808"/>
  </r>
  <r>
    <n v="9"/>
    <s v="Alan Ritchey"/>
    <x v="4"/>
    <x v="0"/>
    <x v="2"/>
    <n v="0"/>
    <n v="729"/>
    <n v="3000"/>
    <n v="0.24299999999999999"/>
    <d v="2026-01-06T00:00:00"/>
    <d v="2026-01-01T00:00:00"/>
    <s v="Day"/>
    <s v="Jan 2026"/>
    <s v="Jan 6"/>
    <x v="3"/>
    <x v="3"/>
    <s v="3 - 500-999"/>
    <n v="0"/>
    <n v="1"/>
    <n v="1"/>
    <n v="0"/>
    <s v="News media"/>
    <s v="coloradopolitics.com"/>
    <s v="https://www.coloradopolitics.com/2026/01/07/729-employees-to-be-laid-off-at-usps-transfer-hub-in-aurora/"/>
  </r>
  <r>
    <n v="10"/>
    <s v="Algoma Steel"/>
    <x v="5"/>
    <x v="0"/>
    <x v="0"/>
    <n v="0"/>
    <n v="1000"/>
    <n v="3500"/>
    <n v="0.28599999999999998"/>
    <d v="2026-03-01T00:00:00"/>
    <d v="2026-03-01T00:00:00"/>
    <s v="Month"/>
    <s v="Mar 2026"/>
    <s v="Mar 2026"/>
    <x v="3"/>
    <x v="1"/>
    <s v="4 - 1K-4.9K"/>
    <n v="0"/>
    <n v="1"/>
    <n v="1"/>
    <n v="0"/>
    <s v="News media"/>
    <s v="intellizence.com"/>
    <s v="https://intellizence.com/insights/layoff-downsizing/major-companies-that-announced-mass-layoffs/"/>
  </r>
  <r>
    <n v="11"/>
    <s v="Alltrna"/>
    <x v="0"/>
    <x v="0"/>
    <x v="0"/>
    <n v="0"/>
    <n v="19"/>
    <n v="55"/>
    <n v="0.34499999999999997"/>
    <d v="2026-03-05T00:00:00"/>
    <d v="2026-03-01T00:00:00"/>
    <s v="Day"/>
    <s v="Mar 2026"/>
    <s v="Mar 5"/>
    <x v="1"/>
    <x v="1"/>
    <s v="1 - &lt;100"/>
    <n v="0"/>
    <n v="1"/>
    <n v="1"/>
    <n v="0"/>
    <s v="News media"/>
    <s v="fiercebiotech.com"/>
    <s v="https://www.fiercebiotech.com/biotech/fierce-biotech-layoff-tracker-2026"/>
  </r>
  <r>
    <n v="12"/>
    <s v="Amazon"/>
    <x v="1"/>
    <x v="1"/>
    <x v="1"/>
    <n v="1"/>
    <n v="16000"/>
    <n v="350000"/>
    <n v="4.5999999999999999E-2"/>
    <d v="2026-01-28T00:00:00"/>
    <d v="2026-01-01T00:00:00"/>
    <s v="Day"/>
    <s v="Jan 2026"/>
    <s v="Jan 28"/>
    <x v="2"/>
    <x v="2"/>
    <s v="5 - 5K+"/>
    <n v="0"/>
    <n v="1"/>
    <n v="5"/>
    <n v="1"/>
    <s v="News media"/>
    <s v="cnbc.com"/>
    <s v="https://www.cnbc.com/2026/01/28/amazon-layoffs-anti-bureaucracy-ai.html"/>
  </r>
  <r>
    <n v="13"/>
    <s v="Amazon"/>
    <x v="1"/>
    <x v="1"/>
    <x v="0"/>
    <n v="0"/>
    <n v="616"/>
    <n v="1550000"/>
    <n v="0"/>
    <d v="2026-04-21T00:00:00"/>
    <d v="2026-04-01T00:00:00"/>
    <s v="Day"/>
    <s v="Apr 2026"/>
    <s v="Apr 21"/>
    <x v="2"/>
    <x v="2"/>
    <s v="3 - 500-999"/>
    <n v="0"/>
    <n v="2"/>
    <n v="5"/>
    <n v="1"/>
    <s v="News media"/>
    <s v="wlrn.org"/>
    <s v="https://www.wlrn.org/business/2026-04-21/florida-homestead-amazon-lay-off"/>
  </r>
  <r>
    <n v="14"/>
    <s v="Amazon"/>
    <x v="1"/>
    <x v="1"/>
    <x v="0"/>
    <n v="0"/>
    <n v="148"/>
    <n v="1550000"/>
    <n v="0"/>
    <d v="2026-08-28T00:00:00"/>
    <d v="2026-08-01T00:00:00"/>
    <s v="Day"/>
    <s v="Aug 2026"/>
    <s v="Aug 28"/>
    <x v="2"/>
    <x v="2"/>
    <s v="2 - 100-499"/>
    <n v="0"/>
    <n v="3"/>
    <n v="5"/>
    <n v="1"/>
    <s v="Government / WARN filing"/>
    <s v="edd.ca.gov"/>
    <s v="https://edd.ca.gov/en/jobs_and_training/Layoff_Services_WARN/"/>
  </r>
  <r>
    <n v="15"/>
    <s v="Amazon"/>
    <x v="1"/>
    <x v="1"/>
    <x v="0"/>
    <n v="0"/>
    <n v="121"/>
    <n v="1550000"/>
    <n v="0"/>
    <d v="2026-08-31T00:00:00"/>
    <d v="2026-08-01T00:00:00"/>
    <s v="Day"/>
    <s v="Aug 2026"/>
    <s v="Aug 31"/>
    <x v="2"/>
    <x v="2"/>
    <s v="2 - 100-499"/>
    <n v="0"/>
    <n v="4"/>
    <n v="5"/>
    <n v="1"/>
    <s v="News media"/>
    <s v="geekwire.com"/>
    <s v="https://www.geekwire.com/2026/amazon-lays-off-121-workers-across-corporate-and-fulfillment-jobs-in-washington-state/"/>
  </r>
  <r>
    <n v="16"/>
    <s v="Amazon"/>
    <x v="1"/>
    <x v="1"/>
    <x v="0"/>
    <n v="0"/>
    <n v="494"/>
    <n v="1550000"/>
    <n v="0"/>
    <d v="2026-09-17T00:00:00"/>
    <d v="2026-09-01T00:00:00"/>
    <s v="Day"/>
    <s v="Sep 2026"/>
    <s v="Sep 17"/>
    <x v="2"/>
    <x v="2"/>
    <s v="2 - 100-499"/>
    <n v="0"/>
    <n v="5"/>
    <n v="5"/>
    <n v="1"/>
    <s v="News media"/>
    <s v="supplychaindive.com"/>
    <s v="https://www.supplychaindive.com/news/amazon-to-temporarily-close-florida-facility-lay-off-nearly-500/825555/"/>
  </r>
  <r>
    <n v="17"/>
    <s v="Amdocs"/>
    <x v="1"/>
    <x v="1"/>
    <x v="1"/>
    <n v="1"/>
    <n v="2500"/>
    <n v="29000"/>
    <n v="8.5999999999999993E-2"/>
    <d v="2026-05-28T00:00:00"/>
    <d v="2026-05-01T00:00:00"/>
    <s v="Day"/>
    <s v="May 2026"/>
    <s v="May 28"/>
    <x v="0"/>
    <x v="0"/>
    <s v="4 - 1K-4.9K"/>
    <n v="0"/>
    <n v="1"/>
    <n v="1"/>
    <n v="0"/>
    <s v="News media"/>
    <s v="calcalistech.com"/>
    <s v="https://www.calcalistech.com/ctechnews/article/u4qmp07cv"/>
  </r>
  <r>
    <n v="18"/>
    <s v="Amentum"/>
    <x v="1"/>
    <x v="1"/>
    <x v="3"/>
    <n v="0"/>
    <n v="70"/>
    <n v="50000"/>
    <n v="1E-3"/>
    <d v="2026-09-25T00:00:00"/>
    <d v="2026-09-01T00:00:00"/>
    <s v="Day"/>
    <s v="Sep 2026"/>
    <s v="Sep 25"/>
    <x v="4"/>
    <x v="2"/>
    <s v="1 - &lt;100"/>
    <n v="0"/>
    <n v="1"/>
    <n v="1"/>
    <n v="0"/>
    <s v="News media"/>
    <s v="talkoftitusville.com"/>
    <s v="https://talkoftitusville.com/2026/09/28/nasa-to-insource-operations-resulting-in-70-layoffs-at-kennedy-space-center/"/>
  </r>
  <r>
    <n v="19"/>
    <s v="Amy's Kitchen"/>
    <x v="6"/>
    <x v="0"/>
    <x v="0"/>
    <n v="0"/>
    <n v="260"/>
    <n v="2800"/>
    <n v="9.2999999999999999E-2"/>
    <d v="2026-09-17T00:00:00"/>
    <d v="2026-09-01T00:00:00"/>
    <s v="Day"/>
    <s v="Sep 2026"/>
    <s v="Sep 17"/>
    <x v="3"/>
    <x v="0"/>
    <s v="2 - 100-499"/>
    <n v="0"/>
    <n v="1"/>
    <n v="1"/>
    <n v="0"/>
    <s v="News media"/>
    <s v="pressdemocrat.com"/>
    <s v="https://www.pressdemocrat.com/2026/09/17/amys-kitchen-santa-rosa-sonoma-county-jobs-plant-closure/"/>
  </r>
  <r>
    <n v="20"/>
    <s v="Anchor Glass"/>
    <x v="5"/>
    <x v="0"/>
    <x v="3"/>
    <n v="0"/>
    <n v="168"/>
    <n v="1400"/>
    <n v="0.12"/>
    <d v="2026-08-18T00:00:00"/>
    <d v="2026-08-01T00:00:00"/>
    <s v="Day"/>
    <s v="Aug 2026"/>
    <s v="Aug 18"/>
    <x v="3"/>
    <x v="3"/>
    <s v="2 - 100-499"/>
    <n v="0"/>
    <n v="1"/>
    <n v="1"/>
    <n v="0"/>
    <s v="News media"/>
    <s v="packagingdive.com"/>
    <s v="https://www.packagingdive.com/news/anchor-glass-permanent-closure-warner-robins-georgia/828221/"/>
  </r>
  <r>
    <n v="21"/>
    <s v="Angi"/>
    <x v="1"/>
    <x v="1"/>
    <x v="1"/>
    <n v="1"/>
    <n v="350"/>
    <n v="5000"/>
    <n v="7.0000000000000007E-2"/>
    <d v="2026-01-01T00:00:00"/>
    <d v="2026-01-01T00:00:00"/>
    <s v="Month"/>
    <s v="Jan 2026"/>
    <s v="Jan 2026"/>
    <x v="3"/>
    <x v="0"/>
    <s v="2 - 100-499"/>
    <n v="0"/>
    <n v="1"/>
    <n v="1"/>
    <n v="0"/>
    <s v="News media"/>
    <s v="cheapism.com"/>
    <s v="https://www.cheapism.com/2026-layoffs-major-american-companies/"/>
  </r>
  <r>
    <n v="22"/>
    <s v="Apple"/>
    <x v="1"/>
    <x v="1"/>
    <x v="1"/>
    <n v="1"/>
    <n v="200"/>
    <n v="166000"/>
    <n v="1E-3"/>
    <d v="2026-08-21T00:00:00"/>
    <d v="2026-08-01T00:00:00"/>
    <s v="Day"/>
    <s v="Aug 2026"/>
    <s v="Aug 21"/>
    <x v="2"/>
    <x v="2"/>
    <s v="2 - 100-499"/>
    <n v="0"/>
    <n v="1"/>
    <n v="1"/>
    <n v="0"/>
    <s v="News media"/>
    <s v="techcrunch.com"/>
    <s v="https://techcrunch.com/2026/08/21/apple-is-reportedly-cutting-hundreds-of-jobs-from-siri-vision-pro-teams/"/>
  </r>
  <r>
    <n v="23"/>
    <s v="Aramark"/>
    <x v="7"/>
    <x v="0"/>
    <x v="0"/>
    <n v="0"/>
    <n v="174"/>
    <n v="278390"/>
    <n v="1E-3"/>
    <d v="2026-10-01T00:00:00"/>
    <d v="2026-10-01T00:00:00"/>
    <s v="Day"/>
    <s v="Oct 2026"/>
    <s v="Oct 1"/>
    <x v="2"/>
    <x v="2"/>
    <s v="2 - 100-499"/>
    <n v="0"/>
    <n v="1"/>
    <n v="1"/>
    <n v="0"/>
    <s v="News media"/>
    <s v="thebanner.com"/>
    <s v="https://www.thebanner.com/culture/food-drink/guinness-brewery-closing-NY722XELBVDKZORLQKNUJCUGSA/"/>
  </r>
  <r>
    <n v="24"/>
    <s v="Arctic Wolf"/>
    <x v="1"/>
    <x v="1"/>
    <x v="1"/>
    <n v="1"/>
    <n v="250"/>
    <n v="3000"/>
    <n v="8.3000000000000004E-2"/>
    <d v="2026-05-06T00:00:00"/>
    <d v="2026-05-01T00:00:00"/>
    <s v="Day"/>
    <s v="May 2026"/>
    <s v="May 6"/>
    <x v="3"/>
    <x v="0"/>
    <s v="2 - 100-499"/>
    <n v="0"/>
    <n v="1"/>
    <n v="1"/>
    <n v="0"/>
    <s v="News media"/>
    <s v="theregister.com"/>
    <s v="https://www.theregister.com/ai-and-ml/2026/05/06/arctic-wolf-cuts-250-jobs-in-ai-push/5231213"/>
  </r>
  <r>
    <n v="25"/>
    <s v="Arrow Fastener"/>
    <x v="5"/>
    <x v="0"/>
    <x v="0"/>
    <n v="0"/>
    <n v="140"/>
    <n v="400"/>
    <n v="0.35"/>
    <d v="2026-02-01T00:00:00"/>
    <d v="2026-02-01T00:00:00"/>
    <s v="Month"/>
    <s v="Feb 2026"/>
    <s v="Feb 2026"/>
    <x v="1"/>
    <x v="1"/>
    <s v="2 - 100-499"/>
    <n v="0"/>
    <n v="1"/>
    <n v="1"/>
    <n v="0"/>
    <s v="News media"/>
    <s v="patch.com"/>
    <s v="https://patch.com/new-jersey/fairlawn-saddlebrook/layoffs-loom-century-old-bergen-county-nj-company"/>
  </r>
  <r>
    <n v="26"/>
    <s v="ArsenalBio"/>
    <x v="0"/>
    <x v="0"/>
    <x v="0"/>
    <n v="0"/>
    <n v="99"/>
    <n v="127"/>
    <n v="0.78"/>
    <d v="2026-08-31T00:00:00"/>
    <d v="2026-08-01T00:00:00"/>
    <s v="Day"/>
    <s v="Aug 2026"/>
    <s v="Aug 31"/>
    <x v="1"/>
    <x v="1"/>
    <s v="1 - &lt;100"/>
    <n v="0"/>
    <n v="1"/>
    <n v="1"/>
    <n v="0"/>
    <s v="News media"/>
    <s v="biospace.com"/>
    <s v="https://www.biospace.com/business/arsenalbio-sacrifices-majority-of-staff-in-pivot-to-in-vivo-car-t"/>
  </r>
  <r>
    <n v="27"/>
    <s v="Artlist"/>
    <x v="1"/>
    <x v="1"/>
    <x v="1"/>
    <n v="1"/>
    <n v="200"/>
    <n v="500"/>
    <n v="0.4"/>
    <d v="2026-06-16T00:00:00"/>
    <d v="2026-06-01T00:00:00"/>
    <s v="Day"/>
    <s v="Jun 2026"/>
    <s v="Jun 16"/>
    <x v="1"/>
    <x v="1"/>
    <s v="2 - 100-499"/>
    <n v="0"/>
    <n v="1"/>
    <n v="1"/>
    <n v="0"/>
    <s v="News media"/>
    <s v="calcalistech.com"/>
    <s v="https://www.calcalistech.com/ctechnews/article/xrqudqiq6"/>
  </r>
  <r>
    <n v="28"/>
    <s v="AssistRx"/>
    <x v="0"/>
    <x v="0"/>
    <x v="0"/>
    <n v="0"/>
    <n v="86"/>
    <n v="1400"/>
    <n v="6.0999999999999999E-2"/>
    <d v="2026-10-02T00:00:00"/>
    <d v="2026-10-01T00:00:00"/>
    <s v="Day"/>
    <s v="Oct 2026"/>
    <s v="Oct 2"/>
    <x v="3"/>
    <x v="0"/>
    <s v="1 - &lt;100"/>
    <n v="0"/>
    <n v="1"/>
    <n v="1"/>
    <n v="0"/>
    <s v="News media"/>
    <s v="wftv.com"/>
    <s v="https://www.wftv.com/news/local/more-than-100-jobs-are-being-cut-2-orlando-companies-announce-layoffs/C6DCBVC3RFFLBHOQOQ4BW2PAYQ/"/>
  </r>
  <r>
    <n v="29"/>
    <s v="Associated Press"/>
    <x v="8"/>
    <x v="0"/>
    <x v="0"/>
    <n v="0"/>
    <n v="60"/>
    <n v="3300"/>
    <n v="1.7999999999999999E-2"/>
    <d v="2026-05-15T00:00:00"/>
    <d v="2026-05-01T00:00:00"/>
    <s v="Day"/>
    <s v="May 2026"/>
    <s v="May 15"/>
    <x v="3"/>
    <x v="2"/>
    <s v="1 - &lt;100"/>
    <n v="0"/>
    <n v="1"/>
    <n v="1"/>
    <n v="0"/>
    <s v="News media"/>
    <s v="apnews.com"/>
    <s v="https://apnews.com/article/news-industry-ap-layoffs-3906d6f2c16621746515adc51a04b829"/>
  </r>
  <r>
    <n v="30"/>
    <s v="Atlassian"/>
    <x v="1"/>
    <x v="1"/>
    <x v="1"/>
    <n v="1"/>
    <n v="1600"/>
    <n v="16000"/>
    <n v="0.1"/>
    <d v="2026-03-11T00:00:00"/>
    <d v="2026-03-01T00:00:00"/>
    <s v="Day"/>
    <s v="Mar 2026"/>
    <s v="Mar 11"/>
    <x v="0"/>
    <x v="3"/>
    <s v="4 - 1K-4.9K"/>
    <n v="0"/>
    <n v="1"/>
    <n v="1"/>
    <n v="0"/>
    <s v="News media"/>
    <s v="bloomberg.com"/>
    <s v="https://www.bloomberg.com/news/articles/2026-03-11/atlassian-team-ceo-announces-layoffs-of-1-600-citing-ai-shift"/>
  </r>
  <r>
    <n v="31"/>
    <s v="Autodesk"/>
    <x v="1"/>
    <x v="1"/>
    <x v="0"/>
    <n v="0"/>
    <n v="1000"/>
    <n v="14300"/>
    <n v="7.0000000000000007E-2"/>
    <d v="2026-01-22T00:00:00"/>
    <d v="2026-01-01T00:00:00"/>
    <s v="Day"/>
    <s v="Jan 2026"/>
    <s v="Jan 22"/>
    <x v="0"/>
    <x v="0"/>
    <s v="4 - 1K-4.9K"/>
    <n v="0"/>
    <n v="1"/>
    <n v="1"/>
    <n v="0"/>
    <s v="Company filing (SEC)"/>
    <s v="sec.gov"/>
    <s v="https://www.sec.gov/Archives/edgar/data/769397/000076939726000006/adsk-20260122.htm"/>
  </r>
  <r>
    <n v="32"/>
    <s v="Autolus Therapeutics"/>
    <x v="0"/>
    <x v="0"/>
    <x v="0"/>
    <n v="0"/>
    <n v="98"/>
    <n v="752"/>
    <n v="0.13"/>
    <d v="2026-04-30T00:00:00"/>
    <d v="2026-04-01T00:00:00"/>
    <s v="Day"/>
    <s v="Apr 2026"/>
    <s v="Apr 30"/>
    <x v="1"/>
    <x v="3"/>
    <s v="1 - &lt;100"/>
    <n v="0"/>
    <n v="1"/>
    <n v="1"/>
    <n v="0"/>
    <s v="News media"/>
    <s v="biospace.com"/>
    <s v="https://www.biospace.com/biospace-layoff-tracker"/>
  </r>
  <r>
    <n v="33"/>
    <s v="BBC"/>
    <x v="8"/>
    <x v="0"/>
    <x v="2"/>
    <n v="0"/>
    <n v="2000"/>
    <n v="21508"/>
    <n v="9.2999999999999999E-2"/>
    <d v="2026-04-15T00:00:00"/>
    <d v="2026-04-01T00:00:00"/>
    <s v="Day"/>
    <s v="Apr 2026"/>
    <s v="Apr 15"/>
    <x v="0"/>
    <x v="0"/>
    <s v="4 - 1K-4.9K"/>
    <n v="0"/>
    <n v="1"/>
    <n v="3"/>
    <n v="1"/>
    <s v="News media"/>
    <s v="variety.com"/>
    <s v="https://variety.com/2026/tv/news/bbc-to-cut-up-to-2000-jobs-major-cost-saving-move-1236722352/"/>
  </r>
  <r>
    <n v="34"/>
    <s v="BBC"/>
    <x v="8"/>
    <x v="0"/>
    <x v="2"/>
    <n v="0"/>
    <n v="110"/>
    <n v="21508"/>
    <n v="5.0000000000000001E-3"/>
    <d v="2026-09-28T00:00:00"/>
    <d v="2026-09-01T00:00:00"/>
    <s v="Day"/>
    <s v="Sep 2026"/>
    <s v="Sep 28"/>
    <x v="0"/>
    <x v="2"/>
    <s v="2 - 100-499"/>
    <n v="0"/>
    <n v="2"/>
    <n v="3"/>
    <n v="1"/>
    <s v="News media"/>
    <s v="thedesk.net"/>
    <s v="https://thedesk.net/2026/09/bbc-media-tech-cuts-110-jobs-iplayer-sounds/"/>
  </r>
  <r>
    <n v="35"/>
    <s v="BBC"/>
    <x v="8"/>
    <x v="0"/>
    <x v="2"/>
    <n v="0"/>
    <n v="90"/>
    <n v="21508"/>
    <n v="4.0000000000000001E-3"/>
    <d v="2026-10-01T00:00:00"/>
    <d v="2026-10-01T00:00:00"/>
    <s v="Day"/>
    <s v="Oct 2026"/>
    <s v="Oct 1"/>
    <x v="0"/>
    <x v="2"/>
    <s v="1 - &lt;100"/>
    <n v="0"/>
    <n v="3"/>
    <n v="3"/>
    <n v="1"/>
    <s v="News media"/>
    <s v="pressgazette.co.uk"/>
    <s v="https://pressgazette.co.uk/news/bbc-to-cut-local-radio-and-regional-tv-news-with-90-jobs-at-risk/"/>
  </r>
  <r>
    <n v="36"/>
    <s v="BILL Holdings"/>
    <x v="9"/>
    <x v="1"/>
    <x v="0"/>
    <n v="0"/>
    <n v="700"/>
    <n v="2333"/>
    <n v="0.3"/>
    <d v="2026-05-07T00:00:00"/>
    <d v="2026-05-01T00:00:00"/>
    <s v="Day"/>
    <s v="May 2026"/>
    <s v="May 7"/>
    <x v="3"/>
    <x v="1"/>
    <s v="3 - 500-999"/>
    <n v="0"/>
    <n v="1"/>
    <n v="1"/>
    <n v="0"/>
    <s v="News media"/>
    <s v="stocktitan.net"/>
    <s v="https://www.stocktitan.net/sec-filings/BILL/8-k-bill-holdings-inc-reports-material-event-a30cd671905e.html"/>
  </r>
  <r>
    <n v="37"/>
    <s v="BMW"/>
    <x v="4"/>
    <x v="0"/>
    <x v="2"/>
    <n v="0"/>
    <n v="8000"/>
    <n v="154000"/>
    <n v="5.1999999999999998E-2"/>
    <d v="2026-07-29T00:00:00"/>
    <d v="2026-07-01T00:00:00"/>
    <s v="Day"/>
    <s v="Jul 2026"/>
    <s v="Jul 29"/>
    <x v="2"/>
    <x v="0"/>
    <s v="5 - 5K+"/>
    <n v="0"/>
    <n v="1"/>
    <n v="1"/>
    <n v="0"/>
    <s v="News media"/>
    <s v="euronews.com"/>
    <s v="https://www.euronews.com/business/2026/07/29/bmw-plans-to-cut-around-8000-jobs-in-major-cost-saving-drive"/>
  </r>
  <r>
    <n v="38"/>
    <s v="Banker Steel"/>
    <x v="5"/>
    <x v="0"/>
    <x v="0"/>
    <n v="0"/>
    <n v="115"/>
    <n v="500"/>
    <n v="0.23"/>
    <d v="2026-09-16T00:00:00"/>
    <d v="2026-09-01T00:00:00"/>
    <s v="Day"/>
    <s v="Sep 2026"/>
    <s v="Sep 16"/>
    <x v="1"/>
    <x v="3"/>
    <s v="2 - 100-499"/>
    <n v="0"/>
    <n v="1"/>
    <n v="1"/>
    <n v="0"/>
    <s v="News media"/>
    <s v="communitynews.org"/>
    <s v="https://communitynews.org/sections/business-cns/two-central-jersey-employers-cut-more-than-600-jobs-while-relocating/"/>
  </r>
  <r>
    <n v="39"/>
    <s v="Barrette Outdoor Living"/>
    <x v="5"/>
    <x v="0"/>
    <x v="0"/>
    <n v="0"/>
    <n v="59"/>
    <n v="2000"/>
    <n v="2.8999999999999901E-2"/>
    <d v="2026-09-15T00:00:00"/>
    <d v="2026-09-01T00:00:00"/>
    <s v="Day"/>
    <s v="Sep 2026"/>
    <s v="Sep 15"/>
    <x v="3"/>
    <x v="2"/>
    <s v="1 - &lt;100"/>
    <n v="0"/>
    <n v="1"/>
    <n v="1"/>
    <n v="0"/>
    <s v="News media"/>
    <s v="943thepoint.com"/>
    <s v="https://943thepoint.com/ixp/397/p/barrette-outdoor-living-layoffs/"/>
  </r>
  <r>
    <n v="40"/>
    <s v="Bell Canada"/>
    <x v="10"/>
    <x v="1"/>
    <x v="0"/>
    <n v="0"/>
    <n v="690"/>
    <n v="38683"/>
    <n v="1.7999999999999999E-2"/>
    <d v="2026-06-15T00:00:00"/>
    <d v="2026-06-01T00:00:00"/>
    <s v="Day"/>
    <s v="Jun 2026"/>
    <s v="Jun 15"/>
    <x v="0"/>
    <x v="2"/>
    <s v="3 - 500-999"/>
    <n v="0"/>
    <n v="1"/>
    <n v="1"/>
    <n v="0"/>
    <s v="News media"/>
    <s v="ctvnews.ca"/>
    <s v="https://www.ctvnews.ca/business/article/bell-cutting-nearly-700-jobs-amid-ongoing-organizational-changes-bell-media-not-impacted/"/>
  </r>
  <r>
    <n v="41"/>
    <s v="Bicycle Therapeutics"/>
    <x v="0"/>
    <x v="0"/>
    <x v="2"/>
    <n v="0"/>
    <n v="86"/>
    <n v="288"/>
    <n v="0.29899999999999999"/>
    <d v="2026-03-17T00:00:00"/>
    <d v="2026-03-01T00:00:00"/>
    <s v="Day"/>
    <s v="Mar 2026"/>
    <s v="Mar 17"/>
    <x v="1"/>
    <x v="1"/>
    <s v="1 - &lt;100"/>
    <n v="0"/>
    <n v="1"/>
    <n v="1"/>
    <n v="0"/>
    <s v="News media"/>
    <s v="endpoints.news"/>
    <s v="https://endpoints.news/bicycle-to-cut-30-of-staff-after-cancer-drugs-regulatory-setback/"/>
  </r>
  <r>
    <n v="42"/>
    <s v="BigID"/>
    <x v="1"/>
    <x v="1"/>
    <x v="1"/>
    <n v="1"/>
    <n v="150"/>
    <n v="650"/>
    <n v="0.23100000000000001"/>
    <d v="2026-05-27T00:00:00"/>
    <d v="2026-05-01T00:00:00"/>
    <s v="Day"/>
    <s v="May 2026"/>
    <s v="May 27"/>
    <x v="1"/>
    <x v="3"/>
    <s v="2 - 100-499"/>
    <n v="0"/>
    <n v="1"/>
    <n v="1"/>
    <n v="0"/>
    <s v="News media"/>
    <s v="en.globes.co.il"/>
    <s v="https://en.globes.co.il/en/article-ai-forces-israeli-unicorn-bigid-to-lay-off-150-1001544054"/>
  </r>
  <r>
    <n v="43"/>
    <s v="Bilfinger"/>
    <x v="5"/>
    <x v="0"/>
    <x v="0"/>
    <n v="0"/>
    <n v="1500"/>
    <n v="31000"/>
    <n v="4.8000000000000001E-2"/>
    <d v="2026-09-17T00:00:00"/>
    <d v="2026-09-01T00:00:00"/>
    <s v="Day"/>
    <s v="Sep 2026"/>
    <s v="Sep 17"/>
    <x v="0"/>
    <x v="2"/>
    <s v="4 - 1K-4.9K"/>
    <n v="0"/>
    <n v="1"/>
    <n v="1"/>
    <n v="0"/>
    <s v="News media"/>
    <s v="marketscreener.com"/>
    <s v="https://www.marketscreener.com/news/bilfinger-abandons-catch-up-push-and-cuts-1-500-jobs-ce785bd3d888f026"/>
  </r>
  <r>
    <n v="44"/>
    <s v="BioMarin Pharmaceutical"/>
    <x v="0"/>
    <x v="0"/>
    <x v="0"/>
    <n v="0"/>
    <n v="117"/>
    <n v="3221"/>
    <n v="3.5999999999999997E-2"/>
    <d v="2026-09-24T00:00:00"/>
    <d v="2026-09-01T00:00:00"/>
    <s v="Day"/>
    <s v="Sep 2026"/>
    <s v="Sep 24"/>
    <x v="3"/>
    <x v="2"/>
    <s v="2 - 100-499"/>
    <n v="0"/>
    <n v="1"/>
    <n v="1"/>
    <n v="0"/>
    <s v="Government / WARN filing"/>
    <s v="edd.ca.gov"/>
    <s v="https://edd.ca.gov/en/jobs_and_training/Layoff_Services_WARN/"/>
  </r>
  <r>
    <n v="45"/>
    <s v="BioNTech"/>
    <x v="0"/>
    <x v="0"/>
    <x v="3"/>
    <n v="0"/>
    <n v="1860"/>
    <n v="8455"/>
    <n v="0.22"/>
    <d v="2026-05-05T00:00:00"/>
    <d v="2026-05-01T00:00:00"/>
    <s v="Day"/>
    <s v="May 2026"/>
    <s v="May 5"/>
    <x v="3"/>
    <x v="3"/>
    <s v="4 - 1K-4.9K"/>
    <n v="0"/>
    <n v="1"/>
    <n v="1"/>
    <n v="0"/>
    <s v="News media"/>
    <s v="bloomberg.com"/>
    <s v="https://www.bloomberg.com/news/articles/2026-05-05/biontech-to-cut-as-many-as-1-860-jobs-as-covid-jab-sales-drop"/>
  </r>
  <r>
    <n v="46"/>
    <s v="BitGo"/>
    <x v="9"/>
    <x v="1"/>
    <x v="0"/>
    <n v="0"/>
    <n v="85"/>
    <n v="565"/>
    <n v="0.15"/>
    <d v="2026-06-25T00:00:00"/>
    <d v="2026-06-01T00:00:00"/>
    <s v="Day"/>
    <s v="Jun 2026"/>
    <s v="Jun 25"/>
    <x v="1"/>
    <x v="3"/>
    <s v="1 - &lt;100"/>
    <n v="0"/>
    <n v="1"/>
    <n v="1"/>
    <n v="0"/>
    <s v="News media"/>
    <s v="finance.yahoo.com"/>
    <s v="https://finance.yahoo.com/markets/crypto/articles/bitgo-cuts-15-workforce-focus-230517195.html"/>
  </r>
  <r>
    <n v="47"/>
    <s v="Bitcoin Suisse"/>
    <x v="9"/>
    <x v="1"/>
    <x v="2"/>
    <n v="0"/>
    <n v="60"/>
    <n v="200"/>
    <n v="0.3"/>
    <d v="2026-09-11T00:00:00"/>
    <d v="2026-09-01T00:00:00"/>
    <s v="Day"/>
    <s v="Sep 2026"/>
    <s v="Sep 11"/>
    <x v="1"/>
    <x v="1"/>
    <s v="1 - &lt;100"/>
    <n v="0"/>
    <n v="1"/>
    <n v="1"/>
    <n v="0"/>
    <s v="News media"/>
    <s v="swissinfo.ch"/>
    <s v="https://www.swissinfo.ch/ger/bitcoin-suisse-streicht-in-der-schweiz-bis-zu-60-stellen/92042606"/>
  </r>
  <r>
    <n v="48"/>
    <s v="BlackRock"/>
    <x v="3"/>
    <x v="0"/>
    <x v="2"/>
    <n v="0"/>
    <n v="250"/>
    <n v="24600"/>
    <n v="0.01"/>
    <d v="2026-01-01T00:00:00"/>
    <d v="2026-01-01T00:00:00"/>
    <s v="Month"/>
    <s v="Jan 2026"/>
    <s v="Jan 2026"/>
    <x v="0"/>
    <x v="2"/>
    <s v="2 - 100-499"/>
    <n v="0"/>
    <n v="1"/>
    <n v="2"/>
    <n v="1"/>
    <s v="News media"/>
    <s v="finance.yahoo.com"/>
    <s v="https://finance.yahoo.com/news/layoffs-surge-2026-10-major-174540901.html"/>
  </r>
  <r>
    <n v="49"/>
    <s v="BlackRock"/>
    <x v="3"/>
    <x v="0"/>
    <x v="2"/>
    <n v="0"/>
    <n v="200"/>
    <n v="24600"/>
    <n v="8.0000000000000002E-3"/>
    <d v="2026-06-15T00:00:00"/>
    <d v="2026-06-01T00:00:00"/>
    <s v="Day"/>
    <s v="Jun 2026"/>
    <s v="Jun 15"/>
    <x v="0"/>
    <x v="2"/>
    <s v="2 - 100-499"/>
    <n v="0"/>
    <n v="2"/>
    <n v="2"/>
    <n v="1"/>
    <s v="News media"/>
    <s v="uk.finance.yahoo.com"/>
    <s v="https://uk.finance.yahoo.com/news/blackrock-sheds-another-200-jobs-230347094.html"/>
  </r>
  <r>
    <n v="50"/>
    <s v="Block"/>
    <x v="9"/>
    <x v="1"/>
    <x v="1"/>
    <n v="1"/>
    <n v="4000"/>
    <n v="10000"/>
    <n v="0.4"/>
    <d v="2026-02-26T00:00:00"/>
    <d v="2026-02-01T00:00:00"/>
    <s v="Day"/>
    <s v="Feb 2026"/>
    <s v="Feb 26"/>
    <x v="0"/>
    <x v="1"/>
    <s v="4 - 1K-4.9K"/>
    <n v="0"/>
    <n v="1"/>
    <n v="1"/>
    <n v="0"/>
    <s v="News media"/>
    <s v="cnn.com"/>
    <s v="https://www.cnn.com/2026/02/26/business/block-layoffs-ai-jack-dorsey"/>
  </r>
  <r>
    <n v="51"/>
    <s v="Blue Diamond Growers"/>
    <x v="5"/>
    <x v="0"/>
    <x v="0"/>
    <n v="0"/>
    <n v="53"/>
    <n v="1835"/>
    <n v="2.8999999999999901E-2"/>
    <d v="2026-08-28T00:00:00"/>
    <d v="2026-08-01T00:00:00"/>
    <s v="Day"/>
    <s v="Aug 2026"/>
    <s v="Aug 28"/>
    <x v="3"/>
    <x v="2"/>
    <s v="1 - &lt;100"/>
    <n v="0"/>
    <n v="1"/>
    <n v="1"/>
    <n v="0"/>
    <s v="Government / WARN filing"/>
    <s v="edd.ca.gov"/>
    <s v="https://edd.ca.gov/en/jobs_and_training/Layoff_Services_WARN/"/>
  </r>
  <r>
    <n v="52"/>
    <s v="Blue Shield of California"/>
    <x v="0"/>
    <x v="0"/>
    <x v="0"/>
    <n v="0"/>
    <n v="60"/>
    <n v="7500"/>
    <n v="8.0000000000000002E-3"/>
    <d v="2026-08-21T00:00:00"/>
    <d v="2026-08-01T00:00:00"/>
    <s v="Day"/>
    <s v="Aug 2026"/>
    <s v="Aug 21"/>
    <x v="3"/>
    <x v="2"/>
    <s v="1 - &lt;100"/>
    <n v="0"/>
    <n v="1"/>
    <n v="1"/>
    <n v="0"/>
    <s v="Government / WARN filing"/>
    <s v="edd.ca.gov"/>
    <s v="https://edd.ca.gov/en/jobs_and_training/layoff_services_warn"/>
  </r>
  <r>
    <n v="53"/>
    <s v="Bolt"/>
    <x v="9"/>
    <x v="1"/>
    <x v="1"/>
    <n v="1"/>
    <n v="250"/>
    <n v="750"/>
    <n v="0.33299999999999991"/>
    <d v="2026-04-05T00:00:00"/>
    <d v="2026-04-01T00:00:00"/>
    <s v="Day"/>
    <s v="Apr 2026"/>
    <s v="Apr 5"/>
    <x v="1"/>
    <x v="1"/>
    <s v="2 - 100-499"/>
    <n v="0"/>
    <n v="1"/>
    <n v="1"/>
    <n v="0"/>
    <s v="News media"/>
    <s v="pymnts.com"/>
    <s v="https://www.pymnts.com/digital-payments/2026/bolt-cuts-third-of-staff-amid-new-ai-focus/"/>
  </r>
  <r>
    <n v="54"/>
    <s v="Booksy"/>
    <x v="1"/>
    <x v="1"/>
    <x v="1"/>
    <n v="1"/>
    <n v="200"/>
    <n v="1000"/>
    <n v="0.2"/>
    <d v="2026-09-10T00:00:00"/>
    <d v="2026-09-01T00:00:00"/>
    <s v="Day"/>
    <s v="Sep 2026"/>
    <s v="Sep 10"/>
    <x v="3"/>
    <x v="3"/>
    <s v="2 - 100-499"/>
    <n v="0"/>
    <n v="1"/>
    <n v="1"/>
    <n v="0"/>
    <s v="News media"/>
    <s v="bankier.pl"/>
    <s v="https://www.bankier.pl/wiadomosc/AI-zabiera-etaty-w-polskim-gigancie-Booksy-zwolni-200-osob-9195497.html"/>
  </r>
  <r>
    <n v="55"/>
    <s v="Bosch"/>
    <x v="4"/>
    <x v="0"/>
    <x v="2"/>
    <n v="0"/>
    <n v="13000"/>
    <n v="418000"/>
    <n v="3.1E-2"/>
    <m/>
    <m/>
    <s v="Multi-year plan"/>
    <s v="2025-30 program"/>
    <s v="2025-30"/>
    <x v="2"/>
    <x v="2"/>
    <s v="5 - 5K+"/>
    <n v="0"/>
    <n v="1"/>
    <n v="1"/>
    <n v="0"/>
    <s v="News media"/>
    <s v="electrive.com"/>
    <s v="https://www.electrive.com/2025/09/25/bosch-plans-to-cut-another-13000-jobs-in-its-mobility-division/"/>
  </r>
  <r>
    <n v="56"/>
    <s v="Bossong Hosiery Mills"/>
    <x v="5"/>
    <x v="0"/>
    <x v="0"/>
    <n v="0"/>
    <n v="122"/>
    <n v="122"/>
    <n v="1"/>
    <d v="2026-09-09T00:00:00"/>
    <d v="2026-09-01T00:00:00"/>
    <s v="Day"/>
    <s v="Sep 2026"/>
    <s v="Sep 9"/>
    <x v="1"/>
    <x v="4"/>
    <s v="2 - 100-499"/>
    <n v="1"/>
    <n v="1"/>
    <n v="1"/>
    <n v="0"/>
    <s v="News media"/>
    <s v="wxii12.com"/>
    <s v="https://www.wxii12.com/article/north-carolina-hosiery-company-closes-asheboro-layoffs/73763446"/>
  </r>
  <r>
    <n v="57"/>
    <s v="BrewDog"/>
    <x v="6"/>
    <x v="0"/>
    <x v="4"/>
    <n v="0"/>
    <n v="484"/>
    <n v="1217"/>
    <n v="0.39799999999999991"/>
    <d v="2026-03-03T00:00:00"/>
    <d v="2026-03-01T00:00:00"/>
    <s v="Day"/>
    <s v="Mar 2026"/>
    <s v="Mar 3"/>
    <x v="3"/>
    <x v="1"/>
    <s v="2 - 100-499"/>
    <n v="0"/>
    <n v="1"/>
    <n v="1"/>
    <n v="0"/>
    <s v="News media"/>
    <s v="thespiritsbusiness.com"/>
    <s v="https://www.thespiritsbusiness.com/2026/03/brewdog-buyout-484-jobs-lost-as-38-bars-close/"/>
  </r>
  <r>
    <n v="58"/>
    <s v="Bristol Myers Squibb"/>
    <x v="0"/>
    <x v="0"/>
    <x v="2"/>
    <n v="0"/>
    <n v="247"/>
    <n v="34000"/>
    <n v="6.9999999999999004E-3"/>
    <d v="2026-02-01T00:00:00"/>
    <d v="2026-02-01T00:00:00"/>
    <s v="Month"/>
    <s v="Feb 2026"/>
    <s v="Feb 2026"/>
    <x v="0"/>
    <x v="2"/>
    <s v="2 - 100-499"/>
    <n v="0"/>
    <n v="1"/>
    <n v="3"/>
    <n v="1"/>
    <s v="News media"/>
    <s v="njbiz.com"/>
    <s v="https://njbiz.com/bristol-myers-squibb-nj-layoffs-cost-cutting/"/>
  </r>
  <r>
    <n v="59"/>
    <s v="Bristol Myers Squibb"/>
    <x v="0"/>
    <x v="0"/>
    <x v="2"/>
    <n v="0"/>
    <n v="206"/>
    <n v="34000"/>
    <n v="6.0000000000000001E-3"/>
    <d v="2026-04-22T00:00:00"/>
    <d v="2026-04-01T00:00:00"/>
    <s v="Day"/>
    <s v="Apr 2026"/>
    <s v="Apr 22"/>
    <x v="0"/>
    <x v="2"/>
    <s v="2 - 100-499"/>
    <n v="0"/>
    <n v="2"/>
    <n v="3"/>
    <n v="1"/>
    <s v="News media"/>
    <s v="roi-nj.com"/>
    <s v="https://www.roi-nj.com/2026/04/22/healthcare/bristol-myers-squibb-files-warn-notice-for-206-jobs/"/>
  </r>
  <r>
    <n v="60"/>
    <s v="Bristol Myers Squibb"/>
    <x v="0"/>
    <x v="0"/>
    <x v="2"/>
    <n v="0"/>
    <n v="265"/>
    <n v="34000"/>
    <n v="8.0000000000000002E-3"/>
    <d v="2026-09-22T00:00:00"/>
    <d v="2026-09-01T00:00:00"/>
    <s v="Day"/>
    <s v="Sep 2026"/>
    <s v="Sep 22"/>
    <x v="0"/>
    <x v="2"/>
    <s v="2 - 100-499"/>
    <n v="0"/>
    <n v="3"/>
    <n v="3"/>
    <n v="1"/>
    <s v="Government / WARN filing"/>
    <s v="nj.gov"/>
    <s v="https://www.nj.gov/labor/assets/PDFs/WARN/2026_WARN_Notice_Archive.pdf"/>
  </r>
  <r>
    <n v="61"/>
    <s v="British American Tobacco"/>
    <x v="6"/>
    <x v="0"/>
    <x v="2"/>
    <n v="0"/>
    <n v="9000"/>
    <n v="45000"/>
    <n v="0.2"/>
    <d v="2026-06-29T00:00:00"/>
    <d v="2026-06-01T00:00:00"/>
    <s v="Day"/>
    <s v="Jun 2026"/>
    <s v="Jun 29"/>
    <x v="0"/>
    <x v="3"/>
    <s v="5 - 5K+"/>
    <n v="0"/>
    <n v="1"/>
    <n v="1"/>
    <n v="0"/>
    <s v="News media"/>
    <s v="bnnbloomberg.ca"/>
    <s v="https://www.bnnbloomberg.ca/business/international/2026/06/29/british-american-tobacco-cost-cutting-hits-9000-roles/"/>
  </r>
  <r>
    <n v="62"/>
    <s v="Build a Rocket Boy"/>
    <x v="1"/>
    <x v="1"/>
    <x v="3"/>
    <n v="0"/>
    <n v="170"/>
    <n v="250"/>
    <n v="0.68"/>
    <d v="2026-05-06T00:00:00"/>
    <d v="2026-05-01T00:00:00"/>
    <s v="Day"/>
    <s v="May 2026"/>
    <s v="May 6"/>
    <x v="1"/>
    <x v="1"/>
    <s v="2 - 100-499"/>
    <n v="0"/>
    <n v="1"/>
    <n v="1"/>
    <n v="0"/>
    <s v="News media"/>
    <s v="gamespot.com"/>
    <s v="https://www.gamespot.com/articles/mindseye-dev-reportedly-laid-off-170-of-250-employees/1100-6539796/"/>
  </r>
  <r>
    <n v="63"/>
    <s v="Bumble Bee Foods"/>
    <x v="6"/>
    <x v="0"/>
    <x v="0"/>
    <n v="0"/>
    <n v="197"/>
    <n v="1614"/>
    <n v="0.122"/>
    <d v="2026-08-11T00:00:00"/>
    <d v="2026-08-01T00:00:00"/>
    <s v="Day"/>
    <s v="Aug 2026"/>
    <s v="Aug 11"/>
    <x v="3"/>
    <x v="3"/>
    <s v="2 - 100-499"/>
    <n v="0"/>
    <n v="1"/>
    <n v="1"/>
    <n v="0"/>
    <s v="Government / WARN filing"/>
    <s v="edd.ca.gov"/>
    <s v="https://edd.ca.gov/en/jobs_and_training/Layoff_Services_WARN"/>
  </r>
  <r>
    <n v="64"/>
    <s v="Bungie"/>
    <x v="1"/>
    <x v="1"/>
    <x v="0"/>
    <n v="0"/>
    <n v="400"/>
    <n v="800"/>
    <n v="0.5"/>
    <d v="2026-06-25T00:00:00"/>
    <d v="2026-06-01T00:00:00"/>
    <s v="Day"/>
    <s v="Jun 2026"/>
    <s v="Jun 25"/>
    <x v="1"/>
    <x v="1"/>
    <s v="2 - 100-499"/>
    <n v="0"/>
    <n v="1"/>
    <n v="1"/>
    <n v="0"/>
    <s v="News media"/>
    <s v="windowscentral.com"/>
    <s v="https://www.windowscentral.com/gaming/destiny-2-dev-bungie-hit-with-major-layoffs-across-most-of-the-destiny-team-and-marathon-says-sony-ceo"/>
  </r>
  <r>
    <n v="65"/>
    <s v="BuzzFeed"/>
    <x v="8"/>
    <x v="0"/>
    <x v="4"/>
    <n v="0"/>
    <n v="180"/>
    <n v="510"/>
    <n v="0.35299999999999998"/>
    <d v="2026-07-27T00:00:00"/>
    <d v="2026-07-01T00:00:00"/>
    <s v="Day"/>
    <s v="Jul 2026"/>
    <s v="Jul 27"/>
    <x v="1"/>
    <x v="1"/>
    <s v="2 - 100-499"/>
    <n v="0"/>
    <n v="1"/>
    <n v="1"/>
    <n v="0"/>
    <s v="News media"/>
    <s v="variety.com"/>
    <s v="https://variety.com/2026/digital/news/buzzfeed-layoffs-employees-byron-allen-acquires-company-1236822122/"/>
  </r>
  <r>
    <n v="66"/>
    <s v="CBS News"/>
    <x v="8"/>
    <x v="0"/>
    <x v="0"/>
    <n v="0"/>
    <n v="66"/>
    <n v="1100"/>
    <n v="0.06"/>
    <d v="2026-03-20T00:00:00"/>
    <d v="2026-03-01T00:00:00"/>
    <s v="Day"/>
    <s v="Mar 2026"/>
    <s v="Mar 20"/>
    <x v="3"/>
    <x v="0"/>
    <s v="1 - &lt;100"/>
    <n v="0"/>
    <n v="1"/>
    <n v="1"/>
    <n v="0"/>
    <s v="News media"/>
    <s v="deadline.com"/>
    <s v="https://deadline.com/2026/03/cbs-news-layoffs-bari-weiss-1236761230/"/>
  </r>
  <r>
    <n v="67"/>
    <s v="CJ Logistics America"/>
    <x v="4"/>
    <x v="0"/>
    <x v="0"/>
    <n v="0"/>
    <n v="57"/>
    <n v="1376"/>
    <n v="4.0999999999999898E-2"/>
    <d v="2026-08-17T00:00:00"/>
    <d v="2026-08-01T00:00:00"/>
    <s v="Day"/>
    <s v="Aug 2026"/>
    <s v="Aug 17"/>
    <x v="3"/>
    <x v="2"/>
    <s v="1 - &lt;100"/>
    <n v="0"/>
    <n v="1"/>
    <n v="2"/>
    <n v="1"/>
    <s v="News media"/>
    <s v="wfmz.com"/>
    <s v="https://www.wfmz.com/news/area/lehighvalley/lehigh-county/western-lehigh-county/logistics-company-to-close-its-largest-lehigh-valley-warehouse-dozens-of-jobs-impacted/article_851c6023-dc67-4ee7-a9c6-9d978e0f788d.html"/>
  </r>
  <r>
    <n v="68"/>
    <s v="CJ Logistics America"/>
    <x v="4"/>
    <x v="0"/>
    <x v="0"/>
    <n v="0"/>
    <n v="56"/>
    <n v="1376"/>
    <n v="4.0999999999999898E-2"/>
    <d v="2026-09-02T00:00:00"/>
    <d v="2026-09-01T00:00:00"/>
    <s v="Day"/>
    <s v="Sep 2026"/>
    <s v="Sep 2"/>
    <x v="3"/>
    <x v="2"/>
    <s v="1 - &lt;100"/>
    <n v="0"/>
    <n v="2"/>
    <n v="2"/>
    <n v="1"/>
    <s v="News media"/>
    <s v="tristatealert.com"/>
    <s v="https://www.tristatealert.com/newville-logistics-company-closing-shedding-more-than-50-jobs"/>
  </r>
  <r>
    <n v="69"/>
    <s v="CNN"/>
    <x v="8"/>
    <x v="0"/>
    <x v="0"/>
    <n v="0"/>
    <n v="50"/>
    <n v="3000"/>
    <n v="1.7000000000000001E-2"/>
    <d v="2026-03-25T00:00:00"/>
    <d v="2026-03-01T00:00:00"/>
    <s v="Day"/>
    <s v="Mar 2026"/>
    <s v="Mar 25"/>
    <x v="3"/>
    <x v="2"/>
    <s v="1 - &lt;100"/>
    <n v="0"/>
    <n v="1"/>
    <n v="1"/>
    <n v="0"/>
    <s v="News media"/>
    <s v="newsmax.com"/>
    <s v="https://www.newsmax.com/newsfront/cnn-layoffs-paramount/2026/03/24/id/1250576/"/>
  </r>
  <r>
    <n v="70"/>
    <s v="Cambium Networks"/>
    <x v="10"/>
    <x v="1"/>
    <x v="0"/>
    <n v="0"/>
    <n v="260"/>
    <n v="486"/>
    <n v="0.53500000000000003"/>
    <d v="2026-09-11T00:00:00"/>
    <d v="2026-09-01T00:00:00"/>
    <s v="Day"/>
    <s v="Sep 2026"/>
    <s v="Sep 11"/>
    <x v="1"/>
    <x v="1"/>
    <s v="2 - 100-499"/>
    <n v="0"/>
    <n v="1"/>
    <n v="1"/>
    <n v="0"/>
    <s v="Company filing (SEC)"/>
    <s v="sec.gov"/>
    <s v="https://www.sec.gov/Archives/edgar/data/1738177/000119312526389901/cmbmf-20260911.htm"/>
  </r>
  <r>
    <n v="71"/>
    <s v="Campbell's"/>
    <x v="5"/>
    <x v="0"/>
    <x v="0"/>
    <n v="0"/>
    <n v="205"/>
    <n v="568"/>
    <n v="0.36099999999999999"/>
    <d v="2026-05-01T00:00:00"/>
    <d v="2026-05-01T00:00:00"/>
    <s v="Day"/>
    <s v="May 2026"/>
    <s v="May 1"/>
    <x v="1"/>
    <x v="1"/>
    <s v="2 - 100-499"/>
    <n v="0"/>
    <n v="1"/>
    <n v="2"/>
    <n v="1"/>
    <s v="News media"/>
    <s v="wfaa.com"/>
    <s v="https://www.wfaa.com/article/news/local/campbells-soup-factory-layoffs-paris-texas/287-ed71fa56-6a39-49f6-8921-db61b9d006f16"/>
  </r>
  <r>
    <n v="72"/>
    <s v="Campbell's"/>
    <x v="5"/>
    <x v="0"/>
    <x v="2"/>
    <n v="0"/>
    <n v="515"/>
    <n v="13700"/>
    <n v="3.7999999999999999E-2"/>
    <d v="2026-09-03T00:00:00"/>
    <d v="2026-09-01T00:00:00"/>
    <s v="Day"/>
    <s v="Sep 2026"/>
    <s v="Sep 3"/>
    <x v="0"/>
    <x v="2"/>
    <s v="3 - 500-999"/>
    <n v="0"/>
    <n v="2"/>
    <n v="2"/>
    <n v="1"/>
    <s v="News media"/>
    <s v="inquirer.com"/>
    <s v="https://www.inquirer.com/business/campbells-layoffs-camden-nj-20260903.html"/>
  </r>
  <r>
    <n v="73"/>
    <s v="Capital One"/>
    <x v="9"/>
    <x v="1"/>
    <x v="4"/>
    <n v="0"/>
    <n v="1100"/>
    <n v="70000"/>
    <n v="1.6E-2"/>
    <d v="2026-03-03T00:00:00"/>
    <d v="2026-03-01T00:00:00"/>
    <s v="Day"/>
    <s v="Mar 2026"/>
    <s v="Mar 3"/>
    <x v="4"/>
    <x v="2"/>
    <s v="4 - 1K-4.9K"/>
    <n v="0"/>
    <n v="1"/>
    <n v="1"/>
    <n v="0"/>
    <s v="News media"/>
    <s v="chicago.suntimes.com"/>
    <s v="https://chicago.suntimes.com/work/2026/03/05/capital-one-laying-off-warn-1700-employees-riverwoods-discover"/>
  </r>
  <r>
    <n v="74"/>
    <s v="Carlex Glass America"/>
    <x v="4"/>
    <x v="0"/>
    <x v="0"/>
    <n v="0"/>
    <n v="325"/>
    <n v="3000"/>
    <n v="0.108"/>
    <d v="2026-07-07T00:00:00"/>
    <d v="2026-07-01T00:00:00"/>
    <s v="Day"/>
    <s v="Jul 2026"/>
    <s v="Jul 7"/>
    <x v="3"/>
    <x v="3"/>
    <s v="2 - 100-499"/>
    <n v="0"/>
    <n v="1"/>
    <n v="1"/>
    <n v="0"/>
    <s v="News media"/>
    <s v="carlex.com"/>
    <s v="https://www.carlex.com/news/carlex-glass-america-llc-announces-planned-closure-of-vonore-manufacturing-facility/"/>
  </r>
  <r>
    <n v="75"/>
    <s v="Carry-On Trailer"/>
    <x v="4"/>
    <x v="0"/>
    <x v="0"/>
    <n v="0"/>
    <n v="179"/>
    <n v="1100"/>
    <n v="0.16300000000000001"/>
    <d v="2026-09-30T00:00:00"/>
    <d v="2026-09-01T00:00:00"/>
    <s v="Day"/>
    <s v="Sep 2026"/>
    <s v="Sep 30"/>
    <x v="3"/>
    <x v="3"/>
    <s v="2 - 100-499"/>
    <n v="0"/>
    <n v="1"/>
    <n v="1"/>
    <n v="0"/>
    <s v="Government / WARN filing"/>
    <s v="virginiaworks.gov"/>
    <s v="https://virginiaworks.gov/warn-notice/40669/"/>
  </r>
  <r>
    <n v="76"/>
    <s v="Cars.com"/>
    <x v="4"/>
    <x v="0"/>
    <x v="0"/>
    <n v="0"/>
    <n v="185"/>
    <n v="1700"/>
    <n v="0.109"/>
    <d v="2026-04-09T00:00:00"/>
    <d v="2026-04-01T00:00:00"/>
    <s v="Day"/>
    <s v="Apr 2026"/>
    <s v="Apr 9"/>
    <x v="3"/>
    <x v="3"/>
    <s v="2 - 100-499"/>
    <n v="0"/>
    <n v="1"/>
    <n v="1"/>
    <n v="0"/>
    <s v="Company filing (SEC)"/>
    <s v="sec.gov"/>
    <s v="https://www.sec.gov/Archives/edgar/data/1683606/000119312526149752/cars-20260406.htm"/>
  </r>
  <r>
    <n v="77"/>
    <s v="Cboe Global Markets"/>
    <x v="3"/>
    <x v="0"/>
    <x v="0"/>
    <n v="0"/>
    <n v="332"/>
    <n v="1661"/>
    <n v="0.2"/>
    <d v="2026-05-01T00:00:00"/>
    <d v="2026-05-01T00:00:00"/>
    <s v="Day"/>
    <s v="May 2026"/>
    <s v="May 1"/>
    <x v="3"/>
    <x v="3"/>
    <s v="2 - 100-499"/>
    <n v="0"/>
    <n v="1"/>
    <n v="1"/>
    <n v="0"/>
    <s v="News media"/>
    <s v="qz.com"/>
    <s v="https://qz.com/cboe-layoffs-workforce-reduction-core-businesses-050126"/>
  </r>
  <r>
    <n v="78"/>
    <s v="Cellares"/>
    <x v="0"/>
    <x v="0"/>
    <x v="3"/>
    <n v="0"/>
    <n v="100"/>
    <n v="318"/>
    <n v="0.314"/>
    <d v="2026-08-21T00:00:00"/>
    <d v="2026-08-01T00:00:00"/>
    <s v="Day"/>
    <s v="Aug 2026"/>
    <s v="Aug 21"/>
    <x v="1"/>
    <x v="1"/>
    <s v="2 - 100-499"/>
    <n v="0"/>
    <n v="1"/>
    <n v="2"/>
    <n v="1"/>
    <s v="News media"/>
    <s v="biopharmadive.com"/>
    <s v="https://www.biopharmadive.com/news/cellares-layoffs-cell-therapy-manufacturing/828588/"/>
  </r>
  <r>
    <n v="79"/>
    <s v="Cellares"/>
    <x v="0"/>
    <x v="0"/>
    <x v="3"/>
    <n v="0"/>
    <n v="68"/>
    <n v="318"/>
    <n v="0.214"/>
    <d v="2026-09-01T00:00:00"/>
    <d v="2026-09-01T00:00:00"/>
    <s v="Day"/>
    <s v="Sep 2026"/>
    <s v="Sep 1"/>
    <x v="1"/>
    <x v="3"/>
    <s v="1 - &lt;100"/>
    <n v="0"/>
    <n v="2"/>
    <n v="2"/>
    <n v="1"/>
    <s v="News media"/>
    <s v="biospace.com"/>
    <s v="https://www.biospace.com/biospace-layoff-tracker"/>
  </r>
  <r>
    <n v="80"/>
    <s v="Centrica"/>
    <x v="11"/>
    <x v="0"/>
    <x v="1"/>
    <n v="1"/>
    <n v="1300"/>
    <n v="20000"/>
    <n v="6.5000000000000002E-2"/>
    <d v="2026-07-23T00:00:00"/>
    <d v="2026-07-01T00:00:00"/>
    <s v="Day"/>
    <s v="Jul 2026"/>
    <s v="Jul 23"/>
    <x v="0"/>
    <x v="0"/>
    <s v="4 - 1K-4.9K"/>
    <n v="0"/>
    <n v="1"/>
    <n v="1"/>
    <n v="0"/>
    <s v="News media"/>
    <s v="lbc.co.uk"/>
    <s v="https://www.lbc.co.uk/article/a793727ac56140f2be9069d8be0463b2-5Hjdf4c_2/"/>
  </r>
  <r>
    <n v="81"/>
    <s v="Channel 4"/>
    <x v="8"/>
    <x v="0"/>
    <x v="0"/>
    <n v="0"/>
    <n v="340"/>
    <n v="1270"/>
    <n v="0.26800000000000002"/>
    <d v="2026-09-09T00:00:00"/>
    <d v="2026-09-01T00:00:00"/>
    <s v="Day"/>
    <s v="Sep 2026"/>
    <s v="Sep 9"/>
    <x v="3"/>
    <x v="1"/>
    <s v="2 - 100-499"/>
    <n v="0"/>
    <n v="1"/>
    <n v="1"/>
    <n v="0"/>
    <s v="News media"/>
    <s v="finance.yahoo.com"/>
    <s v="https://finance.yahoo.com/news/channel-4-cut-340-jobs-120955840.html"/>
  </r>
  <r>
    <n v="82"/>
    <s v="ChargePoint"/>
    <x v="4"/>
    <x v="0"/>
    <x v="0"/>
    <n v="0"/>
    <n v="145"/>
    <n v="1440"/>
    <n v="0.1009999999999999"/>
    <d v="2026-07-29T00:00:00"/>
    <d v="2026-07-01T00:00:00"/>
    <s v="Day"/>
    <s v="Jul 2026"/>
    <s v="Jul 29"/>
    <x v="3"/>
    <x v="3"/>
    <s v="2 - 100-499"/>
    <n v="0"/>
    <n v="1"/>
    <n v="1"/>
    <n v="0"/>
    <s v="Company filing (SEC)"/>
    <s v="sec.gov"/>
    <s v="https://www.sec.gov/Archives/edgar/data/1777393/000177739326000057/chpt-20260728.htm"/>
  </r>
  <r>
    <n v="83"/>
    <s v="Charter Next Generation"/>
    <x v="5"/>
    <x v="0"/>
    <x v="0"/>
    <n v="0"/>
    <n v="56"/>
    <n v="2700"/>
    <n v="2.1000000000000001E-2"/>
    <d v="2026-09-30T00:00:00"/>
    <d v="2026-09-01T00:00:00"/>
    <s v="Day"/>
    <s v="Sep 2026"/>
    <s v="Sep 30"/>
    <x v="3"/>
    <x v="2"/>
    <s v="1 - &lt;100"/>
    <n v="0"/>
    <n v="1"/>
    <n v="1"/>
    <n v="0"/>
    <s v="Government / WARN filing"/>
    <s v="twc.texas.gov"/>
    <s v="https://www.twc.texas.gov/data-reports/warn-notice"/>
  </r>
  <r>
    <n v="84"/>
    <s v="Chevron"/>
    <x v="11"/>
    <x v="0"/>
    <x v="2"/>
    <n v="0"/>
    <n v="180"/>
    <n v="45000"/>
    <n v="4.0000000000000001E-3"/>
    <d v="2026-07-01T00:00:00"/>
    <d v="2026-07-01T00:00:00"/>
    <s v="Day"/>
    <s v="Jul 2026"/>
    <s v="Jul 1"/>
    <x v="0"/>
    <x v="2"/>
    <s v="2 - 100-499"/>
    <n v="0"/>
    <n v="1"/>
    <n v="2"/>
    <n v="1"/>
    <s v="Government / WARN filing"/>
    <s v="edd.ca.gov"/>
    <s v="https://edd.ca.gov/en/jobs_and_training/Layoff_Services_WARN/"/>
  </r>
  <r>
    <n v="85"/>
    <s v="Chevron"/>
    <x v="11"/>
    <x v="0"/>
    <x v="2"/>
    <n v="0"/>
    <n v="7820"/>
    <n v="45000"/>
    <n v="0.17399999999999999"/>
    <m/>
    <m/>
    <s v="Year"/>
    <s v="2026 (no month)"/>
    <s v="2026"/>
    <x v="0"/>
    <x v="3"/>
    <s v="5 - 5K+"/>
    <n v="0"/>
    <n v="2"/>
    <n v="2"/>
    <n v="1"/>
    <s v="News media"/>
    <s v="intellizence.com"/>
    <s v="https://intellizence.com/insights/layoff-downsizing/major-companies-that-announced-mass-layoffs/"/>
  </r>
  <r>
    <n v="86"/>
    <s v="Chime"/>
    <x v="9"/>
    <x v="1"/>
    <x v="1"/>
    <n v="1"/>
    <n v="150"/>
    <n v="1500"/>
    <n v="0.1"/>
    <d v="2026-07-31T00:00:00"/>
    <d v="2026-07-01T00:00:00"/>
    <s v="Day"/>
    <s v="Jul 2026"/>
    <s v="Jul 31"/>
    <x v="3"/>
    <x v="3"/>
    <s v="2 - 100-499"/>
    <n v="0"/>
    <n v="1"/>
    <n v="1"/>
    <n v="0"/>
    <s v="News media"/>
    <s v="pymnts.com"/>
    <s v="https://www.pymnts.com/news/banking/2026/chime-cuts-10percent-of-workforce-in-ai-pivot/"/>
  </r>
  <r>
    <n v="87"/>
    <s v="Cigna Evernorth"/>
    <x v="0"/>
    <x v="0"/>
    <x v="0"/>
    <n v="0"/>
    <n v="134"/>
    <n v="70000"/>
    <n v="2E-3"/>
    <d v="2026-02-01T00:00:00"/>
    <d v="2026-02-01T00:00:00"/>
    <s v="Month"/>
    <s v="Feb 2026"/>
    <s v="Feb 2026"/>
    <x v="4"/>
    <x v="2"/>
    <s v="2 - 100-499"/>
    <n v="0"/>
    <n v="1"/>
    <n v="1"/>
    <n v="0"/>
    <s v="News media"/>
    <s v="patch.com"/>
    <s v="https://patch.com/new-jersey/morristown/dozens-workers-be-laid-morris-plains-healthcare-company"/>
  </r>
  <r>
    <n v="88"/>
    <s v="Cisco"/>
    <x v="1"/>
    <x v="1"/>
    <x v="1"/>
    <n v="1"/>
    <n v="4000"/>
    <n v="80000"/>
    <n v="0.05"/>
    <d v="2026-05-13T00:00:00"/>
    <d v="2026-05-01T00:00:00"/>
    <s v="Day"/>
    <s v="May 2026"/>
    <s v="May 13"/>
    <x v="4"/>
    <x v="0"/>
    <s v="4 - 1K-4.9K"/>
    <n v="0"/>
    <n v="1"/>
    <n v="1"/>
    <n v="0"/>
    <s v="News media"/>
    <s v="blogs.cisco.com"/>
    <s v="https://blogs.cisco.com/news/our-path-forward"/>
  </r>
  <r>
    <n v="89"/>
    <s v="Citigroup"/>
    <x v="3"/>
    <x v="0"/>
    <x v="1"/>
    <n v="1"/>
    <n v="20000"/>
    <n v="200000"/>
    <n v="0.1"/>
    <m/>
    <m/>
    <s v="Multi-year plan"/>
    <s v="2025-26 program"/>
    <s v="2025-26"/>
    <x v="2"/>
    <x v="3"/>
    <s v="5 - 5K+"/>
    <n v="0"/>
    <n v="1"/>
    <n v="1"/>
    <n v="0"/>
    <s v="News media"/>
    <s v="newsnationnow.com"/>
    <s v="https://www.newsnationnow.com/business/major-employers-job-cuts-2026/"/>
  </r>
  <r>
    <n v="90"/>
    <s v="City of Hope"/>
    <x v="0"/>
    <x v="0"/>
    <x v="0"/>
    <n v="0"/>
    <n v="73"/>
    <n v="11000"/>
    <n v="6.9999999999999004E-3"/>
    <d v="2026-09-23T00:00:00"/>
    <d v="2026-09-01T00:00:00"/>
    <s v="Day"/>
    <s v="Sep 2026"/>
    <s v="Sep 23"/>
    <x v="0"/>
    <x v="2"/>
    <s v="1 - &lt;100"/>
    <n v="0"/>
    <n v="1"/>
    <n v="1"/>
    <n v="0"/>
    <s v="News media"/>
    <s v="fiercehealthcare.com"/>
    <s v="https://www.fiercehealthcare.com/finance/fierce-healthcare-layoff-tracker-2026-job-cuts-eliminations-health-systems-hospitals"/>
  </r>
  <r>
    <n v="91"/>
    <s v="Claire's"/>
    <x v="7"/>
    <x v="0"/>
    <x v="0"/>
    <n v="0"/>
    <n v="1300"/>
    <n v="17000"/>
    <n v="7.5999999999999998E-2"/>
    <d v="2026-04-27T00:00:00"/>
    <d v="2026-04-01T00:00:00"/>
    <s v="Day"/>
    <s v="Apr 2026"/>
    <s v="Apr 27"/>
    <x v="0"/>
    <x v="0"/>
    <s v="4 - 1K-4.9K"/>
    <n v="0"/>
    <n v="1"/>
    <n v="1"/>
    <n v="0"/>
    <s v="News media"/>
    <s v="finance.yahoo.com"/>
    <s v="https://finance.yahoo.com/economy/policy/articles/claires-closes-154-stores-loss-153148641.html"/>
  </r>
  <r>
    <n v="92"/>
    <s v="ClickUp"/>
    <x v="1"/>
    <x v="1"/>
    <x v="1"/>
    <n v="1"/>
    <n v="290"/>
    <n v="1300"/>
    <n v="0.223"/>
    <d v="2026-05-21T00:00:00"/>
    <d v="2026-05-01T00:00:00"/>
    <s v="Day"/>
    <s v="May 2026"/>
    <s v="May 21"/>
    <x v="3"/>
    <x v="3"/>
    <s v="2 - 100-499"/>
    <n v="0"/>
    <n v="1"/>
    <n v="1"/>
    <n v="0"/>
    <s v="News media"/>
    <s v="fortune.com"/>
    <s v="https://fortune.com/2026/05/18/ai-agent-to-human-ratio-clickup/"/>
  </r>
  <r>
    <n v="93"/>
    <s v="Close Brothers"/>
    <x v="3"/>
    <x v="0"/>
    <x v="2"/>
    <n v="0"/>
    <n v="600"/>
    <n v="3000"/>
    <n v="0.2"/>
    <d v="2026-03-23T00:00:00"/>
    <d v="2026-03-01T00:00:00"/>
    <s v="Day"/>
    <s v="Mar 2026"/>
    <s v="Mar 23"/>
    <x v="3"/>
    <x v="3"/>
    <s v="3 - 500-999"/>
    <n v="0"/>
    <n v="1"/>
    <n v="1"/>
    <n v="0"/>
    <s v="News media"/>
    <s v="cityam.com"/>
    <s v="https://www.cityam.com/close-brothers-to-axe-fifth-of-jobs-after-motor-finance-wipeout-warning/"/>
  </r>
  <r>
    <n v="94"/>
    <s v="Cloudflare"/>
    <x v="1"/>
    <x v="1"/>
    <x v="1"/>
    <n v="1"/>
    <n v="1100"/>
    <n v="5156"/>
    <n v="0.21299999999999999"/>
    <d v="2026-05-07T00:00:00"/>
    <d v="2026-05-01T00:00:00"/>
    <s v="Day"/>
    <s v="May 2026"/>
    <s v="May 7"/>
    <x v="3"/>
    <x v="3"/>
    <s v="4 - 1K-4.9K"/>
    <n v="0"/>
    <n v="1"/>
    <n v="1"/>
    <n v="0"/>
    <s v="News media"/>
    <s v="blog.cloudflare.com"/>
    <s v="https://blog.cloudflare.com/building-for-the-future/"/>
  </r>
  <r>
    <n v="95"/>
    <s v="Cognizant"/>
    <x v="1"/>
    <x v="1"/>
    <x v="1"/>
    <n v="1"/>
    <n v="15000"/>
    <n v="357600"/>
    <n v="4.2000000000000003E-2"/>
    <d v="2026-04-29T00:00:00"/>
    <d v="2026-04-01T00:00:00"/>
    <s v="Day"/>
    <s v="Apr 2026"/>
    <s v="Apr 29"/>
    <x v="2"/>
    <x v="2"/>
    <s v="5 - 5K+"/>
    <n v="0"/>
    <n v="1"/>
    <n v="1"/>
    <n v="0"/>
    <s v="News media"/>
    <s v="business-standard.com"/>
    <s v="https://www.business-standard.com/companies/news/cognizant-may-cut-7-000-15-000-jobs-as-part-of-its-project-leap-programme-126043001254_1.html"/>
  </r>
  <r>
    <n v="96"/>
    <s v="Coinbase"/>
    <x v="9"/>
    <x v="1"/>
    <x v="1"/>
    <n v="1"/>
    <n v="700"/>
    <n v="5000"/>
    <n v="0.14000000000000001"/>
    <d v="2026-05-05T00:00:00"/>
    <d v="2026-05-01T00:00:00"/>
    <s v="Day"/>
    <s v="May 2026"/>
    <s v="May 5"/>
    <x v="3"/>
    <x v="3"/>
    <s v="3 - 500-999"/>
    <n v="0"/>
    <n v="1"/>
    <n v="1"/>
    <n v="0"/>
    <s v="News media"/>
    <s v="cnbc.com"/>
    <s v="https://www.cnbc.com/2026/05/05/coinbase-cuts-headcount-by-14percent-citing-ai-acceleration-the-shares-are-gaining.html"/>
  </r>
  <r>
    <n v="97"/>
    <s v="Commerzbank"/>
    <x v="3"/>
    <x v="0"/>
    <x v="4"/>
    <n v="0"/>
    <n v="6900"/>
    <n v="39867"/>
    <n v="0.17299999999999999"/>
    <d v="2026-05-08T00:00:00"/>
    <d v="2026-05-01T00:00:00"/>
    <s v="Day"/>
    <s v="May 2026"/>
    <s v="May 8"/>
    <x v="0"/>
    <x v="3"/>
    <s v="5 - 5K+"/>
    <n v="0"/>
    <n v="1"/>
    <n v="1"/>
    <n v="0"/>
    <s v="News media"/>
    <s v="bloomberg.com"/>
    <s v="https://www.bloomberg.com/news/articles/2026-05-08/commerzbank-raises-outlook-as-orlopp-steps-up-unicredit-defense"/>
  </r>
  <r>
    <n v="98"/>
    <s v="Compass"/>
    <x v="1"/>
    <x v="1"/>
    <x v="4"/>
    <n v="0"/>
    <n v="110"/>
    <n v="18000"/>
    <n v="6.0000000000000001E-3"/>
    <d v="2026-03-06T00:00:00"/>
    <d v="2026-03-01T00:00:00"/>
    <s v="Day"/>
    <s v="Mar 2026"/>
    <s v="Mar 6"/>
    <x v="0"/>
    <x v="2"/>
    <s v="2 - 100-499"/>
    <n v="0"/>
    <n v="1"/>
    <n v="1"/>
    <n v="0"/>
    <s v="News media"/>
    <s v="trueup.io"/>
    <s v="https://www.trueup.io/layoffs"/>
  </r>
  <r>
    <n v="99"/>
    <s v="Conifer Health (Tenet)"/>
    <x v="0"/>
    <x v="0"/>
    <x v="3"/>
    <n v="0"/>
    <n v="1037"/>
    <n v="99000"/>
    <n v="0.01"/>
    <d v="2026-09-08T00:00:00"/>
    <d v="2026-09-01T00:00:00"/>
    <s v="Day"/>
    <s v="Sep 2026"/>
    <s v="Sep 8"/>
    <x v="4"/>
    <x v="2"/>
    <s v="4 - 1K-4.9K"/>
    <n v="0"/>
    <n v="1"/>
    <n v="1"/>
    <n v="0"/>
    <s v="News media"/>
    <s v="fiercehealthcare.com"/>
    <s v="https://www.fiercehealthcare.com/providers/tenet-laying-1000-conifer-employees-amid-commonspirit-contract-breakup"/>
  </r>
  <r>
    <n v="100"/>
    <s v="CorroHealth"/>
    <x v="0"/>
    <x v="0"/>
    <x v="0"/>
    <n v="0"/>
    <n v="800"/>
    <n v="17000"/>
    <n v="4.7E-2"/>
    <d v="2026-07-03T00:00:00"/>
    <d v="2026-07-01T00:00:00"/>
    <s v="Day"/>
    <s v="Jul 2026"/>
    <s v="Jul 3"/>
    <x v="0"/>
    <x v="2"/>
    <s v="3 - 500-999"/>
    <n v="0"/>
    <n v="1"/>
    <n v="1"/>
    <n v="0"/>
    <s v="News media"/>
    <s v="peoplematters.in"/>
    <s v="https://www.peoplematters.in/news/strategic-hr/corrohealths-800-layoffs-snowball-into-kerala-centre-row-over-labour-laws-50719"/>
  </r>
  <r>
    <n v="101"/>
    <s v="Corteva"/>
    <x v="5"/>
    <x v="0"/>
    <x v="0"/>
    <n v="0"/>
    <n v="73"/>
    <n v="21500"/>
    <n v="3.0000000000000001E-3"/>
    <d v="2026-06-12T00:00:00"/>
    <d v="2026-06-01T00:00:00"/>
    <s v="Day"/>
    <s v="Jun 2026"/>
    <s v="Jun 12"/>
    <x v="0"/>
    <x v="2"/>
    <s v="1 - &lt;100"/>
    <n v="0"/>
    <n v="1"/>
    <n v="1"/>
    <n v="0"/>
    <s v="Company filing (SEC)"/>
    <s v="sec.gov"/>
    <s v="https://www.sec.gov/Archives/edgar/data/1755672/000175567226000020/ctva-20231108.htm"/>
  </r>
  <r>
    <n v="102"/>
    <s v="Corus Entertainment"/>
    <x v="8"/>
    <x v="0"/>
    <x v="0"/>
    <n v="0"/>
    <n v="43"/>
    <n v="2170"/>
    <n v="0.02"/>
    <d v="2026-07-16T00:00:00"/>
    <d v="2026-07-01T00:00:00"/>
    <s v="Day"/>
    <s v="Jul 2026"/>
    <s v="Jul 16"/>
    <x v="3"/>
    <x v="2"/>
    <s v="1 - &lt;100"/>
    <n v="0"/>
    <n v="1"/>
    <n v="1"/>
    <n v="0"/>
    <s v="News media"/>
    <s v="bnnbloomberg.ca"/>
    <s v="https://www.bnnbloomberg.ca/business/company-news/2026/07/16/corus-to-centralize-calgary-edmonton-productions-of-global-news-some-jobs-to-be-cut/"/>
  </r>
  <r>
    <n v="103"/>
    <s v="Coursera"/>
    <x v="1"/>
    <x v="1"/>
    <x v="4"/>
    <n v="0"/>
    <n v="150"/>
    <n v="2650"/>
    <n v="5.7000000000000002E-2"/>
    <d v="2026-07-06T00:00:00"/>
    <d v="2026-07-01T00:00:00"/>
    <s v="Day"/>
    <s v="Jul 2026"/>
    <s v="Jul 6"/>
    <x v="3"/>
    <x v="0"/>
    <s v="2 - 100-499"/>
    <n v="0"/>
    <n v="1"/>
    <n v="1"/>
    <n v="0"/>
    <s v="Company filing (SEC)"/>
    <s v="sec.gov"/>
    <s v="https://www.sec.gov/Archives/edgar/data/1651562/000165156226000055/cour-20260706.htm"/>
  </r>
  <r>
    <n v="104"/>
    <s v="Crothall / Morrison Healthcare"/>
    <x v="0"/>
    <x v="0"/>
    <x v="0"/>
    <n v="0"/>
    <n v="795"/>
    <n v="10000"/>
    <n v="0.08"/>
    <d v="2026-03-01T00:00:00"/>
    <d v="2026-03-01T00:00:00"/>
    <s v="Month"/>
    <s v="Mar 2026"/>
    <s v="Mar 2026"/>
    <x v="0"/>
    <x v="0"/>
    <s v="3 - 500-999"/>
    <n v="0"/>
    <n v="1"/>
    <n v="2"/>
    <n v="1"/>
    <s v="Government / WARN filing"/>
    <s v="pa.gov"/>
    <s v="https://www.pa.gov/agencies/dli/programs-services/workforce-development-home/warn-requirements/warn-notices"/>
  </r>
  <r>
    <n v="105"/>
    <s v="Crothall / Morrison Healthcare"/>
    <x v="0"/>
    <x v="0"/>
    <x v="0"/>
    <n v="0"/>
    <n v="545"/>
    <n v="10000"/>
    <n v="5.5E-2"/>
    <d v="2026-08-31T00:00:00"/>
    <d v="2026-08-01T00:00:00"/>
    <s v="Day"/>
    <s v="Aug 2026"/>
    <s v="Aug 31"/>
    <x v="0"/>
    <x v="0"/>
    <s v="3 - 500-999"/>
    <n v="0"/>
    <n v="2"/>
    <n v="2"/>
    <n v="1"/>
    <s v="News media"/>
    <s v="virginiabusiness.com"/>
    <s v="https://virginiabusiness.com/crothall-healthcare-vcu-health-layoffs/"/>
  </r>
  <r>
    <n v="106"/>
    <s v="CrowdStrike"/>
    <x v="1"/>
    <x v="1"/>
    <x v="1"/>
    <n v="1"/>
    <n v="500"/>
    <n v="10000"/>
    <n v="0.05"/>
    <d v="2026-02-01T00:00:00"/>
    <d v="2026-02-01T00:00:00"/>
    <s v="Month"/>
    <s v="Feb 2026"/>
    <s v="Feb 2026"/>
    <x v="0"/>
    <x v="0"/>
    <s v="3 - 500-999"/>
    <n v="0"/>
    <n v="1"/>
    <n v="1"/>
    <n v="0"/>
    <s v="News media"/>
    <s v="fortune.com"/>
    <s v="https://fortune.com/2026/03/07/is-ai-taking-jobs-payrolls-drop-narrative-outlook/"/>
  </r>
  <r>
    <n v="107"/>
    <s v="Crypto.com"/>
    <x v="9"/>
    <x v="1"/>
    <x v="1"/>
    <n v="1"/>
    <n v="180"/>
    <n v="1500"/>
    <n v="0.12"/>
    <d v="2026-03-19T00:00:00"/>
    <d v="2026-03-01T00:00:00"/>
    <s v="Day"/>
    <s v="Mar 2026"/>
    <s v="Mar 19"/>
    <x v="3"/>
    <x v="3"/>
    <s v="2 - 100-499"/>
    <n v="0"/>
    <n v="1"/>
    <n v="1"/>
    <n v="0"/>
    <s v="News media"/>
    <s v="bloomberg.com"/>
    <s v="https://www.bloomberg.com/news/articles/2026-03-19/crypto-com-to-lay-off-12-of-staff-in-ai-overhaul"/>
  </r>
  <r>
    <n v="108"/>
    <s v="Cubic3"/>
    <x v="1"/>
    <x v="1"/>
    <x v="2"/>
    <n v="0"/>
    <n v="70"/>
    <n v="450"/>
    <n v="0.156"/>
    <d v="2026-08-28T00:00:00"/>
    <d v="2026-08-01T00:00:00"/>
    <s v="Day"/>
    <s v="Aug 2026"/>
    <s v="Aug 28"/>
    <x v="1"/>
    <x v="3"/>
    <s v="1 - &lt;100"/>
    <n v="0"/>
    <n v="1"/>
    <n v="1"/>
    <n v="0"/>
    <s v="News media"/>
    <s v="thejournal.ie"/>
    <s v="https://www.thejournal.ie/cubic3-layoffs-ireland-7144462-Aug2026/"/>
  </r>
  <r>
    <n v="109"/>
    <s v="DSV"/>
    <x v="4"/>
    <x v="0"/>
    <x v="0"/>
    <n v="0"/>
    <n v="84"/>
    <n v="160000"/>
    <n v="1E-3"/>
    <d v="2026-09-30T00:00:00"/>
    <d v="2026-09-01T00:00:00"/>
    <s v="Day"/>
    <s v="Sep 2026"/>
    <s v="Sep 30"/>
    <x v="2"/>
    <x v="2"/>
    <s v="1 - &lt;100"/>
    <n v="0"/>
    <n v="1"/>
    <n v="1"/>
    <n v="0"/>
    <s v="News media"/>
    <s v="yahoo.com"/>
    <s v="https://www.yahoo.com/news/articles/st-louis-logistics-facility-terminate-174213838.html"/>
  </r>
  <r>
    <n v="110"/>
    <s v="Daily Wire"/>
    <x v="8"/>
    <x v="0"/>
    <x v="2"/>
    <n v="0"/>
    <n v="100"/>
    <n v="200"/>
    <n v="0.5"/>
    <d v="2026-05-01T00:00:00"/>
    <d v="2026-05-01T00:00:00"/>
    <s v="Day"/>
    <s v="May 2026"/>
    <s v="May 1"/>
    <x v="1"/>
    <x v="1"/>
    <s v="2 - 100-499"/>
    <n v="0"/>
    <n v="1"/>
    <n v="1"/>
    <n v="0"/>
    <s v="News media"/>
    <s v="x.com"/>
    <s v="https://x.com/cameron_arcand"/>
  </r>
  <r>
    <n v="111"/>
    <s v="Daimler Truck North America"/>
    <x v="4"/>
    <x v="0"/>
    <x v="0"/>
    <n v="0"/>
    <n v="375"/>
    <n v="28000"/>
    <n v="1.2999999999999999E-2"/>
    <d v="2026-07-29T00:00:00"/>
    <d v="2026-07-01T00:00:00"/>
    <s v="Day"/>
    <s v="Jul 2026"/>
    <s v="Jul 29"/>
    <x v="0"/>
    <x v="2"/>
    <s v="2 - 100-499"/>
    <n v="0"/>
    <n v="1"/>
    <n v="1"/>
    <n v="0"/>
    <s v="News media"/>
    <s v="opb.org"/>
    <s v="https://www.opb.org/article/2026/07/29/portland-daimler-truck-manufacturing-moves-carolinas/"/>
  </r>
  <r>
    <n v="112"/>
    <s v="Dartmouth Health"/>
    <x v="0"/>
    <x v="0"/>
    <x v="2"/>
    <n v="0"/>
    <n v="124"/>
    <n v="16000"/>
    <n v="8.0000000000000002E-3"/>
    <d v="2026-09-15T00:00:00"/>
    <d v="2026-09-01T00:00:00"/>
    <s v="Day"/>
    <s v="Sep 2026"/>
    <s v="Sep 15"/>
    <x v="0"/>
    <x v="2"/>
    <s v="2 - 100-499"/>
    <n v="0"/>
    <n v="1"/>
    <n v="1"/>
    <n v="0"/>
    <s v="News media"/>
    <s v="nhpr.org"/>
    <s v="https://www.nhpr.org/nh-news/2026-09-16/dartmouth-dhmc-layoff-124-employees-cuts-303-positions-nh-vt"/>
  </r>
  <r>
    <n v="113"/>
    <s v="DeepL"/>
    <x v="1"/>
    <x v="1"/>
    <x v="1"/>
    <n v="1"/>
    <n v="250"/>
    <n v="1000"/>
    <n v="0.25"/>
    <d v="2026-05-07T00:00:00"/>
    <d v="2026-05-01T00:00:00"/>
    <s v="Day"/>
    <s v="May 2026"/>
    <s v="May 7"/>
    <x v="3"/>
    <x v="1"/>
    <s v="2 - 100-499"/>
    <n v="0"/>
    <n v="1"/>
    <n v="1"/>
    <n v="0"/>
    <s v="News media"/>
    <s v="bloomberg.com"/>
    <s v="https://www.bloomberg.com/news/articles/2026-05-07/google-translate-rival-deepl-announces-plans-to-cut-25-of-staff"/>
  </r>
  <r>
    <n v="114"/>
    <s v="Dell"/>
    <x v="1"/>
    <x v="1"/>
    <x v="1"/>
    <n v="1"/>
    <n v="11000"/>
    <n v="108000"/>
    <n v="0.10199999999999999"/>
    <d v="2026-03-16T00:00:00"/>
    <d v="2026-03-01T00:00:00"/>
    <s v="Day"/>
    <s v="Mar 2026"/>
    <s v="Mar 16"/>
    <x v="2"/>
    <x v="3"/>
    <s v="5 - 5K+"/>
    <n v="0"/>
    <n v="1"/>
    <n v="1"/>
    <n v="0"/>
    <s v="News media"/>
    <s v="reuters.com"/>
    <s v="https://www.reuters.com/business/world-at-work/dell-workforce-drops-10-fiscal-2026-filing-shows-2026-03-16/"/>
  </r>
  <r>
    <n v="115"/>
    <s v="Diageo"/>
    <x v="6"/>
    <x v="0"/>
    <x v="2"/>
    <n v="0"/>
    <n v="1922"/>
    <n v="29860"/>
    <n v="6.4000000000000001E-2"/>
    <d v="2026-08-17T00:00:00"/>
    <d v="2026-08-01T00:00:00"/>
    <s v="Day"/>
    <s v="Aug 2026"/>
    <s v="Aug 17"/>
    <x v="0"/>
    <x v="0"/>
    <s v="4 - 1K-4.9K"/>
    <n v="0"/>
    <n v="1"/>
    <n v="1"/>
    <n v="0"/>
    <s v="News media"/>
    <s v="uk.finance.yahoo.com"/>
    <s v="https://uk.finance.yahoo.com/news/diageo-sheds-nearly-2-000-114842558.html"/>
  </r>
  <r>
    <n v="116"/>
    <s v="Disc Medicine"/>
    <x v="0"/>
    <x v="0"/>
    <x v="0"/>
    <n v="0"/>
    <n v="30"/>
    <n v="150"/>
    <n v="0.2"/>
    <d v="2026-02-27T00:00:00"/>
    <d v="2026-02-01T00:00:00"/>
    <s v="Day"/>
    <s v="Feb 2026"/>
    <s v="Feb 27"/>
    <x v="1"/>
    <x v="3"/>
    <s v="1 - &lt;100"/>
    <n v="0"/>
    <n v="1"/>
    <n v="1"/>
    <n v="0"/>
    <s v="News media"/>
    <s v="fiercebiotech.com"/>
    <s v="https://www.fiercebiotech.com/biotech/fierce-biotech-layoff-tracker-2026"/>
  </r>
  <r>
    <n v="117"/>
    <s v="Disney"/>
    <x v="8"/>
    <x v="0"/>
    <x v="0"/>
    <n v="0"/>
    <n v="1000"/>
    <n v="220000"/>
    <n v="5.0000000000000001E-3"/>
    <d v="2026-04-09T00:00:00"/>
    <d v="2026-04-01T00:00:00"/>
    <s v="Day"/>
    <s v="Apr 2026"/>
    <s v="Apr 9"/>
    <x v="2"/>
    <x v="2"/>
    <s v="4 - 1K-4.9K"/>
    <n v="0"/>
    <n v="1"/>
    <n v="3"/>
    <n v="1"/>
    <s v="News media"/>
    <s v="businesstoday.in"/>
    <s v="https://www.businesstoday.in/latest/corporate/story/disney-plans-up-to-1000-layoffs-under-new-ceo-josh-damaro-524945-2026-04-09"/>
  </r>
  <r>
    <n v="118"/>
    <s v="Disney"/>
    <x v="8"/>
    <x v="0"/>
    <x v="0"/>
    <n v="0"/>
    <n v="200"/>
    <n v="220000"/>
    <n v="1E-3"/>
    <d v="2026-07-21T00:00:00"/>
    <d v="2026-07-01T00:00:00"/>
    <s v="Day"/>
    <s v="Jul 2026"/>
    <s v="Jul 21"/>
    <x v="2"/>
    <x v="2"/>
    <s v="2 - 100-499"/>
    <n v="0"/>
    <n v="2"/>
    <n v="3"/>
    <n v="1"/>
    <s v="News media"/>
    <s v="hollywoodreporter.com"/>
    <s v="https://www.hollywoodreporter.com/business/business-news/new-disney-layoffs-pixar-streamlining-1236652502/"/>
  </r>
  <r>
    <n v="119"/>
    <s v="Disney"/>
    <x v="8"/>
    <x v="0"/>
    <x v="2"/>
    <n v="0"/>
    <n v="300"/>
    <n v="231000"/>
    <n v="1E-3"/>
    <d v="2026-09-29T00:00:00"/>
    <d v="2026-09-01T00:00:00"/>
    <s v="Day"/>
    <s v="Sep 2026"/>
    <s v="Sep 29"/>
    <x v="2"/>
    <x v="2"/>
    <s v="2 - 100-499"/>
    <n v="0"/>
    <n v="3"/>
    <n v="3"/>
    <n v="1"/>
    <s v="News media"/>
    <s v="finance.yahoo.com"/>
    <s v="https://finance.yahoo.com/markets/stocks/articles/disney-layoffs-2026-300-jobs-180653737.html"/>
  </r>
  <r>
    <n v="120"/>
    <s v="Domo"/>
    <x v="1"/>
    <x v="1"/>
    <x v="4"/>
    <n v="0"/>
    <n v="175"/>
    <n v="876"/>
    <n v="0.2"/>
    <d v="2026-09-23T00:00:00"/>
    <d v="2026-09-01T00:00:00"/>
    <s v="Day"/>
    <s v="Sep 2026"/>
    <s v="Sep 23"/>
    <x v="1"/>
    <x v="3"/>
    <s v="2 - 100-499"/>
    <n v="0"/>
    <n v="1"/>
    <n v="1"/>
    <n v="0"/>
    <s v="News media"/>
    <s v="sltrib.com"/>
    <s v="https://www.sltrib.com/news/2026/10/01/domo-lays-off-175-utah-workers/"/>
  </r>
  <r>
    <n v="121"/>
    <s v="Don't Nod"/>
    <x v="1"/>
    <x v="1"/>
    <x v="2"/>
    <n v="0"/>
    <n v="90"/>
    <n v="314"/>
    <n v="0.28699999999999998"/>
    <d v="2026-09-04T00:00:00"/>
    <d v="2026-09-01T00:00:00"/>
    <s v="Day"/>
    <s v="Sep 2026"/>
    <s v="Sep 4"/>
    <x v="1"/>
    <x v="1"/>
    <s v="1 - &lt;100"/>
    <n v="0"/>
    <n v="1"/>
    <n v="1"/>
    <n v="0"/>
    <s v="News media"/>
    <s v="worthplaying.com"/>
    <s v="https://www.worthplaying.com/article/2026/9/4/news/150912-dont-nods-organizational-transformation-plan-results-in-90-layoffs/"/>
  </r>
  <r>
    <n v="122"/>
    <s v="Dow Chemical"/>
    <x v="5"/>
    <x v="0"/>
    <x v="1"/>
    <n v="1"/>
    <n v="4500"/>
    <n v="36000"/>
    <n v="0.125"/>
    <d v="2026-01-29T00:00:00"/>
    <d v="2026-01-01T00:00:00"/>
    <s v="Day"/>
    <s v="Jan 2026"/>
    <s v="Jan 29"/>
    <x v="0"/>
    <x v="3"/>
    <s v="4 - 1K-4.9K"/>
    <n v="0"/>
    <n v="1"/>
    <n v="1"/>
    <n v="0"/>
    <s v="News media"/>
    <s v="livenowfox.com"/>
    <s v="https://www.livenowfox.com/news/2026-layoffs-list-companies-cutting-jobs-year"/>
  </r>
  <r>
    <n v="123"/>
    <s v="Dürr CTS"/>
    <x v="5"/>
    <x v="0"/>
    <x v="0"/>
    <n v="0"/>
    <n v="75"/>
    <n v="1300"/>
    <n v="5.7999999999999899E-2"/>
    <d v="2026-08-13T00:00:00"/>
    <d v="2026-08-01T00:00:00"/>
    <s v="Day"/>
    <s v="Aug 2026"/>
    <s v="Aug 13"/>
    <x v="3"/>
    <x v="0"/>
    <s v="1 - &lt;100"/>
    <n v="0"/>
    <n v="1"/>
    <n v="1"/>
    <n v="0"/>
    <s v="News media"/>
    <s v="wtaq.com"/>
    <s v="https://wtaq.com/2026/08/17/75-workers-at-durr-cts-plant-in-de-pere-to-be-laid-off-starting-in-october/"/>
  </r>
  <r>
    <n v="124"/>
    <s v="Eagle Rock Distributing"/>
    <x v="6"/>
    <x v="0"/>
    <x v="4"/>
    <n v="0"/>
    <n v="526"/>
    <n v="800"/>
    <n v="0.65799999999999992"/>
    <d v="2026-04-02T00:00:00"/>
    <d v="2026-04-01T00:00:00"/>
    <s v="Day"/>
    <s v="Apr 2026"/>
    <s v="Apr 2"/>
    <x v="1"/>
    <x v="1"/>
    <s v="3 - 500-999"/>
    <n v="0"/>
    <n v="1"/>
    <n v="1"/>
    <n v="0"/>
    <s v="News media"/>
    <s v="bizwest.com"/>
    <s v="https://bizwest.com/2026/04/03/beverage-distributor-to-lay-off-526-workers-including-139-in-loveland/"/>
  </r>
  <r>
    <n v="125"/>
    <s v="Educational Testing Service"/>
    <x v="12"/>
    <x v="0"/>
    <x v="0"/>
    <n v="0"/>
    <n v="62"/>
    <n v="2700"/>
    <n v="2.3E-2"/>
    <d v="2026-09-13T00:00:00"/>
    <d v="2026-09-01T00:00:00"/>
    <s v="Day"/>
    <s v="Sep 2026"/>
    <s v="Sep 13"/>
    <x v="3"/>
    <x v="2"/>
    <s v="1 - &lt;100"/>
    <n v="0"/>
    <n v="1"/>
    <n v="1"/>
    <n v="0"/>
    <s v="Government / WARN filing"/>
    <s v="nj.gov"/>
    <s v="https://www.nj.gov/labor/assets/PDFs/WARN/2026_WARN_Notice_Archive.pdf"/>
  </r>
  <r>
    <n v="126"/>
    <s v="Elastic"/>
    <x v="1"/>
    <x v="1"/>
    <x v="1"/>
    <n v="1"/>
    <n v="250"/>
    <n v="3500"/>
    <n v="7.0999999999999994E-2"/>
    <d v="2026-06-24T00:00:00"/>
    <d v="2026-06-01T00:00:00"/>
    <s v="Day"/>
    <s v="Jun 2026"/>
    <s v="Jun 24"/>
    <x v="3"/>
    <x v="0"/>
    <s v="2 - 100-499"/>
    <n v="0"/>
    <n v="1"/>
    <n v="1"/>
    <n v="0"/>
    <s v="News media"/>
    <s v="bizjournals.com"/>
    <s v="https://www.bizjournals.com/sanfrancisco/news/2026/06/24/elastic-layoffs-ai-search.html"/>
  </r>
  <r>
    <n v="127"/>
    <s v="Electrolux"/>
    <x v="5"/>
    <x v="0"/>
    <x v="3"/>
    <n v="0"/>
    <n v="2100"/>
    <n v="52000"/>
    <n v="0.04"/>
    <d v="2026-05-12T00:00:00"/>
    <d v="2026-05-01T00:00:00"/>
    <s v="Day"/>
    <s v="May 2026"/>
    <s v="May 12"/>
    <x v="4"/>
    <x v="2"/>
    <s v="4 - 1K-4.9K"/>
    <n v="0"/>
    <n v="1"/>
    <n v="1"/>
    <n v="0"/>
    <s v="News media"/>
    <s v="bloomberg.com"/>
    <s v="https://www.bloomberg.com/news/articles/2026-05-12/italian-government-convenes-talks-on-planned-electrolux-job-cuts"/>
  </r>
  <r>
    <n v="128"/>
    <s v="Electronic Arts"/>
    <x v="1"/>
    <x v="1"/>
    <x v="0"/>
    <n v="0"/>
    <n v="300"/>
    <n v="13000"/>
    <n v="2.3E-2"/>
    <d v="2026-03-10T00:00:00"/>
    <d v="2026-03-01T00:00:00"/>
    <s v="Day"/>
    <s v="Mar 2026"/>
    <s v="Mar 10"/>
    <x v="0"/>
    <x v="2"/>
    <s v="2 - 100-499"/>
    <n v="0"/>
    <n v="1"/>
    <n v="1"/>
    <n v="0"/>
    <s v="News media"/>
    <s v="insider-gaming.com"/>
    <s v="https://insider-gaming.com/ea-makes-layoffs-across-across-battlefield-studios/"/>
  </r>
  <r>
    <n v="129"/>
    <s v="Elementor"/>
    <x v="1"/>
    <x v="1"/>
    <x v="1"/>
    <n v="1"/>
    <n v="100"/>
    <n v="330"/>
    <n v="0.30299999999999999"/>
    <d v="2026-06-29T00:00:00"/>
    <d v="2026-06-01T00:00:00"/>
    <s v="Day"/>
    <s v="Jun 2026"/>
    <s v="Jun 29"/>
    <x v="1"/>
    <x v="1"/>
    <s v="2 - 100-499"/>
    <n v="0"/>
    <n v="1"/>
    <n v="1"/>
    <n v="0"/>
    <s v="News media"/>
    <s v="calcalistech.com"/>
    <s v="https://www.calcalistech.com/ctechnews/article/sycgn6yxze"/>
  </r>
  <r>
    <n v="130"/>
    <s v="Elevance Health"/>
    <x v="0"/>
    <x v="0"/>
    <x v="0"/>
    <n v="0"/>
    <n v="216"/>
    <n v="97100"/>
    <n v="2E-3"/>
    <d v="2026-09-15T00:00:00"/>
    <d v="2026-09-01T00:00:00"/>
    <s v="Day"/>
    <s v="Sep 2026"/>
    <s v="Sep 15"/>
    <x v="4"/>
    <x v="2"/>
    <s v="2 - 100-499"/>
    <n v="0"/>
    <n v="1"/>
    <n v="1"/>
    <n v="0"/>
    <s v="News media"/>
    <s v="laworks.net"/>
    <s v="https://www.laworks.net/Downloads/WFD/WarnNotices2026.pdf"/>
  </r>
  <r>
    <n v="131"/>
    <s v="Emergent BioSolutions"/>
    <x v="0"/>
    <x v="0"/>
    <x v="0"/>
    <n v="0"/>
    <n v="93"/>
    <n v="1179"/>
    <n v="7.9000000000000001E-2"/>
    <d v="2026-08-05T00:00:00"/>
    <d v="2026-08-01T00:00:00"/>
    <s v="Day"/>
    <s v="Aug 2026"/>
    <s v="Aug 5"/>
    <x v="3"/>
    <x v="0"/>
    <s v="1 - &lt;100"/>
    <n v="0"/>
    <n v="1"/>
    <n v="1"/>
    <n v="0"/>
    <s v="News media"/>
    <s v="theglobeandmail.com"/>
    <s v="https://www.theglobeandmail.com/investing/markets/stocks/EBS/pressreleases/3704560/emergent-biosolutions-announces-restructuring-amid-turnaround-efforts/"/>
  </r>
  <r>
    <n v="132"/>
    <s v="Entain"/>
    <x v="8"/>
    <x v="0"/>
    <x v="2"/>
    <n v="0"/>
    <n v="500"/>
    <n v="25000"/>
    <n v="0.02"/>
    <d v="2026-07-16T00:00:00"/>
    <d v="2026-07-01T00:00:00"/>
    <s v="Day"/>
    <s v="Jul 2026"/>
    <s v="Jul 16"/>
    <x v="0"/>
    <x v="2"/>
    <s v="3 - 500-999"/>
    <n v="0"/>
    <n v="1"/>
    <n v="1"/>
    <n v="0"/>
    <s v="News media"/>
    <s v="next.io"/>
    <s v="https://next.io/news/people/entain-cfo-efficiency-drive-500-job-cuts/"/>
  </r>
  <r>
    <n v="133"/>
    <s v="Envato"/>
    <x v="1"/>
    <x v="1"/>
    <x v="0"/>
    <n v="0"/>
    <n v="200"/>
    <n v="600"/>
    <n v="0.33299999999999991"/>
    <d v="2026-03-11T00:00:00"/>
    <d v="2026-03-01T00:00:00"/>
    <s v="Day"/>
    <s v="Mar 2026"/>
    <s v="Mar 11"/>
    <x v="1"/>
    <x v="1"/>
    <s v="2 - 100-499"/>
    <n v="0"/>
    <n v="1"/>
    <n v="1"/>
    <n v="0"/>
    <s v="News media"/>
    <s v="trueup.io"/>
    <s v="https://www.trueup.io/layoffs"/>
  </r>
  <r>
    <n v="134"/>
    <s v="Epic Games"/>
    <x v="1"/>
    <x v="1"/>
    <x v="3"/>
    <n v="0"/>
    <n v="1000"/>
    <n v="5000"/>
    <n v="0.2"/>
    <d v="2026-03-24T00:00:00"/>
    <d v="2026-03-01T00:00:00"/>
    <s v="Day"/>
    <s v="Mar 2026"/>
    <s v="Mar 24"/>
    <x v="3"/>
    <x v="3"/>
    <s v="4 - 1K-4.9K"/>
    <n v="0"/>
    <n v="1"/>
    <n v="1"/>
    <n v="0"/>
    <s v="News media"/>
    <s v="kotaku.com"/>
    <s v="https://kotaku.com/epic-games-laying-off-over-1000-employees-blames-drop-in-fortnite-engagement-2000681459"/>
  </r>
  <r>
    <n v="135"/>
    <s v="Ericsson"/>
    <x v="10"/>
    <x v="1"/>
    <x v="3"/>
    <n v="0"/>
    <n v="1600"/>
    <n v="12600"/>
    <n v="0.127"/>
    <d v="2026-01-15T00:00:00"/>
    <d v="2026-01-01T00:00:00"/>
    <s v="Day"/>
    <s v="Jan 2026"/>
    <s v="Jan 15"/>
    <x v="0"/>
    <x v="3"/>
    <s v="4 - 1K-4.9K"/>
    <n v="0"/>
    <n v="1"/>
    <n v="1"/>
    <n v="0"/>
    <s v="News media"/>
    <s v="bloomberg.com"/>
    <s v="https://www.bloomberg.com/news/articles/2026-01-15/ericsson-plans-to-ax-1-600-jobs-in-sweden-in-cost-cutting-push"/>
  </r>
  <r>
    <n v="136"/>
    <s v="Essendant"/>
    <x v="7"/>
    <x v="0"/>
    <x v="0"/>
    <n v="0"/>
    <n v="1175"/>
    <n v="2500"/>
    <n v="0.47"/>
    <d v="2026-08-04T00:00:00"/>
    <d v="2026-08-01T00:00:00"/>
    <s v="Day"/>
    <s v="Aug 2026"/>
    <s v="Aug 4"/>
    <x v="3"/>
    <x v="1"/>
    <s v="4 - 1K-4.9K"/>
    <n v="0"/>
    <n v="1"/>
    <n v="1"/>
    <n v="0"/>
    <s v="News media"/>
    <s v="distributionstrategy.com"/>
    <s v="https://distributionstrategy.com/2026/08/essendant-layoffs-top-1100-across-five-states-as-restructuring-deepens/"/>
  </r>
  <r>
    <n v="137"/>
    <s v="Ethereum Foundation"/>
    <x v="9"/>
    <x v="1"/>
    <x v="0"/>
    <n v="0"/>
    <n v="54"/>
    <n v="270"/>
    <n v="0.2"/>
    <d v="2026-06-23T00:00:00"/>
    <d v="2026-06-01T00:00:00"/>
    <s v="Day"/>
    <s v="Jun 2026"/>
    <s v="Jun 23"/>
    <x v="1"/>
    <x v="3"/>
    <s v="1 - &lt;100"/>
    <n v="0"/>
    <n v="1"/>
    <n v="1"/>
    <n v="0"/>
    <s v="News media"/>
    <s v="blog.ethereum.org"/>
    <s v="https://blog.ethereum.org/2026/06/23/ef-structure"/>
  </r>
  <r>
    <n v="138"/>
    <s v="Etsy"/>
    <x v="1"/>
    <x v="1"/>
    <x v="0"/>
    <n v="0"/>
    <n v="220"/>
    <n v="1820"/>
    <n v="0.121"/>
    <d v="2026-08-05T00:00:00"/>
    <d v="2026-08-01T00:00:00"/>
    <s v="Day"/>
    <s v="Aug 2026"/>
    <s v="Aug 5"/>
    <x v="3"/>
    <x v="3"/>
    <s v="2 - 100-499"/>
    <n v="0"/>
    <n v="1"/>
    <n v="1"/>
    <n v="0"/>
    <s v="News media"/>
    <s v="cnbc.com"/>
    <s v="https://www.cnbc.com/2026/08/05/etsy-layoffs-q2-earnings.html"/>
  </r>
  <r>
    <n v="139"/>
    <s v="Evonik"/>
    <x v="5"/>
    <x v="0"/>
    <x v="0"/>
    <n v="0"/>
    <n v="3200"/>
    <n v="33000"/>
    <n v="9.6999999999999906E-2"/>
    <d v="2026-06-18T00:00:00"/>
    <d v="2026-06-01T00:00:00"/>
    <s v="Day"/>
    <s v="Jun 2026"/>
    <s v="Jun 18"/>
    <x v="0"/>
    <x v="0"/>
    <s v="4 - 1K-4.9K"/>
    <n v="0"/>
    <n v="1"/>
    <n v="1"/>
    <n v="0"/>
    <s v="News media"/>
    <s v="reuters.com"/>
    <s v="https://www.reuters.com/business/evonik-cut-3200-jobs-worldwide-by-2029-it-extends-restructuring-programme-2026-06-18/"/>
  </r>
  <r>
    <n v="140"/>
    <s v="Evotec"/>
    <x v="0"/>
    <x v="0"/>
    <x v="0"/>
    <n v="0"/>
    <n v="800"/>
    <n v="5000"/>
    <n v="0.16"/>
    <d v="2026-03-10T00:00:00"/>
    <d v="2026-03-01T00:00:00"/>
    <s v="Day"/>
    <s v="Mar 2026"/>
    <s v="Mar 10"/>
    <x v="3"/>
    <x v="3"/>
    <s v="3 - 500-999"/>
    <n v="0"/>
    <n v="1"/>
    <n v="1"/>
    <n v="0"/>
    <s v="News media"/>
    <s v="fiercebiotech.com"/>
    <s v="https://www.fiercebiotech.com/biotech/fierce-biotech-layoff-tracker-2026"/>
  </r>
  <r>
    <n v="141"/>
    <s v="Expedia Group"/>
    <x v="1"/>
    <x v="1"/>
    <x v="0"/>
    <n v="0"/>
    <n v="58"/>
    <n v="16000"/>
    <n v="4.0000000000000001E-3"/>
    <d v="2026-09-22T00:00:00"/>
    <d v="2026-09-01T00:00:00"/>
    <s v="Day"/>
    <s v="Sep 2026"/>
    <s v="Sep 22"/>
    <x v="0"/>
    <x v="2"/>
    <s v="1 - &lt;100"/>
    <n v="0"/>
    <n v="1"/>
    <n v="1"/>
    <n v="0"/>
    <s v="News media"/>
    <s v="geekwire.com"/>
    <s v="https://www.geekwire.com/2026/expedia-group-laying-off-58-employees-in-washington-state-in-latest-cuts-at-travel-giant/"/>
  </r>
  <r>
    <n v="142"/>
    <s v="Expeditors International"/>
    <x v="4"/>
    <x v="0"/>
    <x v="0"/>
    <n v="0"/>
    <n v="230"/>
    <n v="19000"/>
    <n v="1.2E-2"/>
    <d v="2026-06-09T00:00:00"/>
    <d v="2026-06-01T00:00:00"/>
    <s v="Day"/>
    <s v="Jun 2026"/>
    <s v="Jun 9"/>
    <x v="0"/>
    <x v="2"/>
    <s v="2 - 100-499"/>
    <n v="0"/>
    <n v="1"/>
    <n v="1"/>
    <n v="0"/>
    <s v="News media"/>
    <s v="geekwire.com"/>
    <s v="https://www.geekwire.com/2026/expeditors-cuts-230-tech-jobs-in-seattle-region-ending-decades-long-policy-against-layoffs/"/>
  </r>
  <r>
    <n v="143"/>
    <s v="FalconX"/>
    <x v="9"/>
    <x v="1"/>
    <x v="0"/>
    <n v="0"/>
    <n v="69"/>
    <n v="630"/>
    <n v="0.11"/>
    <d v="2026-08-03T00:00:00"/>
    <d v="2026-08-01T00:00:00"/>
    <s v="Day"/>
    <s v="Aug 2026"/>
    <s v="Aug 3"/>
    <x v="1"/>
    <x v="3"/>
    <s v="1 - &lt;100"/>
    <n v="0"/>
    <n v="1"/>
    <n v="1"/>
    <n v="0"/>
    <s v="News media"/>
    <s v="cryptotimes.io"/>
    <s v="https://www.cryptotimes.io/2026/08/03/falconx-reportedly-cuts-10-of-workforce-in-restructuring-effort/"/>
  </r>
  <r>
    <n v="144"/>
    <s v="Family Dollar"/>
    <x v="7"/>
    <x v="0"/>
    <x v="0"/>
    <n v="0"/>
    <n v="373"/>
    <n v="59330"/>
    <n v="6.0000000000000001E-3"/>
    <d v="2026-03-18T00:00:00"/>
    <d v="2026-03-01T00:00:00"/>
    <s v="Day"/>
    <s v="Mar 2026"/>
    <s v="Mar 18"/>
    <x v="4"/>
    <x v="2"/>
    <s v="2 - 100-499"/>
    <n v="0"/>
    <n v="1"/>
    <n v="1"/>
    <n v="0"/>
    <s v="News media"/>
    <s v="wfae.org"/>
    <s v="https://www.wfae.org/business/2026-03-18/family-dollar-to-shut-down-matthews-distribution-center-cutting-more-than-370-jobs"/>
  </r>
  <r>
    <n v="145"/>
    <s v="FanDuel"/>
    <x v="8"/>
    <x v="0"/>
    <x v="0"/>
    <n v="0"/>
    <n v="300"/>
    <n v="5000"/>
    <n v="0.06"/>
    <d v="2026-06-06T00:00:00"/>
    <d v="2026-06-01T00:00:00"/>
    <s v="Day"/>
    <s v="Jun 2026"/>
    <s v="Jun 6"/>
    <x v="3"/>
    <x v="0"/>
    <s v="2 - 100-499"/>
    <n v="0"/>
    <n v="1"/>
    <n v="1"/>
    <n v="0"/>
    <s v="News media"/>
    <s v="awfulannouncing.com"/>
    <s v="https://awfulannouncing.com/fanduel/layoffs-several-hundred-employees.html"/>
  </r>
  <r>
    <n v="146"/>
    <s v="FedEx"/>
    <x v="4"/>
    <x v="0"/>
    <x v="0"/>
    <n v="0"/>
    <n v="856"/>
    <n v="550000"/>
    <n v="2E-3"/>
    <d v="2026-01-01T00:00:00"/>
    <d v="2026-01-01T00:00:00"/>
    <s v="Month"/>
    <s v="Jan 2026"/>
    <s v="Jan 2026"/>
    <x v="2"/>
    <x v="2"/>
    <s v="3 - 500-999"/>
    <n v="0"/>
    <n v="1"/>
    <n v="2"/>
    <n v="1"/>
    <s v="News media"/>
    <s v="recruitingnewsnetwork.com"/>
    <s v="https://www.recruitingnewsnetwork.com/posts/major-companies-entering-2026-with-mass-layoffs-already-underway"/>
  </r>
  <r>
    <n v="147"/>
    <s v="FedEx"/>
    <x v="4"/>
    <x v="0"/>
    <x v="0"/>
    <n v="0"/>
    <n v="173"/>
    <n v="530000"/>
    <n v="0"/>
    <d v="2026-08-15T00:00:00"/>
    <d v="2026-08-01T00:00:00"/>
    <s v="Day"/>
    <s v="Aug 2026"/>
    <s v="Aug 15"/>
    <x v="2"/>
    <x v="2"/>
    <s v="2 - 100-499"/>
    <n v="0"/>
    <n v="2"/>
    <n v="2"/>
    <n v="1"/>
    <s v="News media"/>
    <s v="finance.yahoo.com"/>
    <s v="https://finance.yahoo.com/small-business/articles/fedex-closes-more-u-locations-160300304.html"/>
  </r>
  <r>
    <n v="148"/>
    <s v="Fidelity Investments"/>
    <x v="3"/>
    <x v="0"/>
    <x v="0"/>
    <n v="0"/>
    <n v="800"/>
    <n v="80000"/>
    <n v="0.01"/>
    <d v="2026-05-08T00:00:00"/>
    <d v="2026-05-01T00:00:00"/>
    <s v="Day"/>
    <s v="May 2026"/>
    <s v="May 8"/>
    <x v="4"/>
    <x v="2"/>
    <s v="3 - 500-999"/>
    <n v="0"/>
    <n v="1"/>
    <n v="1"/>
    <n v="0"/>
    <s v="News media"/>
    <s v="ts2.tech"/>
    <s v="https://ts2.tech/en/fidelity-layoffs-2026-800-jobs-cut-as-boston-firm-rebuilds-tech-teams-and-hires-thousands/"/>
  </r>
  <r>
    <n v="149"/>
    <s v="Fifth Third Bank"/>
    <x v="3"/>
    <x v="0"/>
    <x v="4"/>
    <n v="0"/>
    <n v="740"/>
    <n v="27000"/>
    <n v="2.7E-2"/>
    <d v="2026-05-08T00:00:00"/>
    <d v="2026-05-01T00:00:00"/>
    <s v="Day"/>
    <s v="May 2026"/>
    <s v="May 8"/>
    <x v="0"/>
    <x v="2"/>
    <s v="3 - 500-999"/>
    <n v="0"/>
    <n v="1"/>
    <n v="1"/>
    <n v="0"/>
    <s v="News media"/>
    <s v="bankingdive.com"/>
    <s v="https://www.bankingdive.com/news/fifth-third-comerica-layoffs-job-cuts-ceo-spence-earnings/810003/"/>
  </r>
  <r>
    <n v="150"/>
    <s v="Fiserv"/>
    <x v="9"/>
    <x v="1"/>
    <x v="0"/>
    <n v="0"/>
    <n v="98"/>
    <n v="38000"/>
    <n v="3.0000000000000001E-3"/>
    <d v="2026-09-11T00:00:00"/>
    <d v="2026-09-01T00:00:00"/>
    <s v="Day"/>
    <s v="Sep 2026"/>
    <s v="Sep 11"/>
    <x v="0"/>
    <x v="2"/>
    <s v="1 - &lt;100"/>
    <n v="0"/>
    <n v="1"/>
    <n v="1"/>
    <n v="0"/>
    <s v="News media"/>
    <s v="finance.yahoo.com"/>
    <s v="https://finance.yahoo.com/markets/stocks/articles/major-n-j-financial-services-180050715.html"/>
  </r>
  <r>
    <n v="151"/>
    <s v="Flipkart"/>
    <x v="1"/>
    <x v="1"/>
    <x v="0"/>
    <n v="0"/>
    <n v="500"/>
    <n v="25000"/>
    <n v="0.02"/>
    <d v="2026-03-06T00:00:00"/>
    <d v="2026-03-01T00:00:00"/>
    <s v="Day"/>
    <s v="Mar 2026"/>
    <s v="Mar 6"/>
    <x v="0"/>
    <x v="2"/>
    <s v="3 - 500-999"/>
    <n v="0"/>
    <n v="1"/>
    <n v="1"/>
    <n v="0"/>
    <s v="News media"/>
    <s v="trueup.io"/>
    <s v="https://www.trueup.io/layoffs"/>
  </r>
  <r>
    <n v="152"/>
    <s v="Flying Food Group"/>
    <x v="6"/>
    <x v="0"/>
    <x v="0"/>
    <n v="0"/>
    <n v="72"/>
    <n v="1205"/>
    <n v="0.06"/>
    <d v="2026-08-14T00:00:00"/>
    <d v="2026-08-01T00:00:00"/>
    <s v="Day"/>
    <s v="Aug 2026"/>
    <s v="Aug 14"/>
    <x v="3"/>
    <x v="0"/>
    <s v="1 - &lt;100"/>
    <n v="0"/>
    <n v="1"/>
    <n v="1"/>
    <n v="0"/>
    <s v="Government / WARN filing"/>
    <s v="edd.ca.gov"/>
    <s v="https://edd.ca.gov/en/jobs_and_training/Layoff_Services_WARN"/>
  </r>
  <r>
    <n v="153"/>
    <s v="Fresh Venture Foods"/>
    <x v="6"/>
    <x v="0"/>
    <x v="0"/>
    <n v="0"/>
    <n v="185"/>
    <n v="2000"/>
    <n v="9.1999999999999998E-2"/>
    <d v="2026-05-07T00:00:00"/>
    <d v="2026-05-01T00:00:00"/>
    <s v="Day"/>
    <s v="May 2026"/>
    <s v="May 7"/>
    <x v="3"/>
    <x v="0"/>
    <s v="2 - 100-499"/>
    <n v="0"/>
    <n v="1"/>
    <n v="1"/>
    <n v="0"/>
    <s v="Government / WARN filing"/>
    <s v="warntracker.com"/>
    <s v="https://www.warntracker.com/company/fresh-venture-foods"/>
  </r>
  <r>
    <n v="154"/>
    <s v="Freshworks"/>
    <x v="1"/>
    <x v="1"/>
    <x v="1"/>
    <n v="1"/>
    <n v="500"/>
    <n v="4500"/>
    <n v="0.111"/>
    <d v="2026-05-05T00:00:00"/>
    <d v="2026-05-01T00:00:00"/>
    <s v="Day"/>
    <s v="May 2026"/>
    <s v="May 5"/>
    <x v="3"/>
    <x v="3"/>
    <s v="3 - 500-999"/>
    <n v="0"/>
    <n v="1"/>
    <n v="1"/>
    <n v="0"/>
    <s v="News media"/>
    <s v="globenewswire.com"/>
    <s v="https://www.globenewswire.com/news-release/2026/05/05/3288271/0/en/freshworks-reports-first-quarter-2026-results.html"/>
  </r>
  <r>
    <n v="155"/>
    <s v="Frugal Fannie's"/>
    <x v="7"/>
    <x v="0"/>
    <x v="0"/>
    <n v="0"/>
    <n v="214"/>
    <n v="214"/>
    <n v="1"/>
    <d v="2026-09-24T00:00:00"/>
    <d v="2026-09-01T00:00:00"/>
    <s v="Day"/>
    <s v="Sep 2026"/>
    <s v="Sep 24"/>
    <x v="1"/>
    <x v="4"/>
    <s v="2 - 100-499"/>
    <n v="1"/>
    <n v="1"/>
    <n v="1"/>
    <n v="0"/>
    <s v="News media"/>
    <s v="yahoo.com"/>
    <s v="https://www.yahoo.com/news/articles/longtime-mass-discount-store-laying-141746709.html"/>
  </r>
  <r>
    <n v="156"/>
    <s v="Fujitsu UK"/>
    <x v="1"/>
    <x v="1"/>
    <x v="0"/>
    <n v="0"/>
    <n v="270"/>
    <n v="2700"/>
    <n v="0.1"/>
    <d v="2026-04-02T00:00:00"/>
    <d v="2026-04-01T00:00:00"/>
    <s v="Day"/>
    <s v="Apr 2026"/>
    <s v="Apr 2"/>
    <x v="3"/>
    <x v="3"/>
    <s v="2 - 100-499"/>
    <n v="0"/>
    <n v="1"/>
    <n v="1"/>
    <n v="0"/>
    <s v="News media"/>
    <s v="computerweekly.com"/>
    <s v="https://www.computerweekly.com/news/366641092/Post-Office-scandal-supplier-Fujitsu-to-cut-nearly-10-of-UK-workforce"/>
  </r>
  <r>
    <n v="157"/>
    <s v="Full Sail University"/>
    <x v="12"/>
    <x v="0"/>
    <x v="0"/>
    <n v="0"/>
    <n v="180"/>
    <n v="2440"/>
    <n v="7.3999999999999996E-2"/>
    <d v="2026-08-28T00:00:00"/>
    <d v="2026-08-01T00:00:00"/>
    <s v="Day"/>
    <s v="Aug 2026"/>
    <s v="Aug 28"/>
    <x v="3"/>
    <x v="0"/>
    <s v="2 - 100-499"/>
    <n v="0"/>
    <n v="1"/>
    <n v="1"/>
    <n v="0"/>
    <s v="News media"/>
    <s v="wftv.com"/>
    <s v="https://www.wftv.com/news/local/full-sail-university-eliminates-180-positions-organizational-realignment/7PCAAXWJPZF6HHS4X3IU34ZT74/"/>
  </r>
  <r>
    <n v="158"/>
    <s v="GSK"/>
    <x v="0"/>
    <x v="0"/>
    <x v="3"/>
    <n v="0"/>
    <n v="650"/>
    <n v="66841"/>
    <n v="0.01"/>
    <d v="2026-09-11T00:00:00"/>
    <d v="2026-09-01T00:00:00"/>
    <s v="Day"/>
    <s v="Sep 2026"/>
    <s v="Sep 11"/>
    <x v="4"/>
    <x v="2"/>
    <s v="3 - 500-999"/>
    <n v="0"/>
    <n v="1"/>
    <n v="1"/>
    <n v="0"/>
    <s v="News media"/>
    <s v="biospace.com"/>
    <s v="https://www.biospace.com/business/gsk-lays-off-650-staffers-amid-closure-of-german-vaccine-manufacturing-site"/>
  </r>
  <r>
    <n v="159"/>
    <s v="GXO Logistics"/>
    <x v="4"/>
    <x v="0"/>
    <x v="0"/>
    <n v="0"/>
    <n v="220"/>
    <n v="154000"/>
    <n v="1E-3"/>
    <d v="2026-01-31T00:00:00"/>
    <d v="2026-01-01T00:00:00"/>
    <s v="Day"/>
    <s v="Jan 2026"/>
    <s v="Jan 31"/>
    <x v="2"/>
    <x v="2"/>
    <s v="2 - 100-499"/>
    <n v="0"/>
    <n v="1"/>
    <n v="1"/>
    <n v="0"/>
    <s v="News media"/>
    <s v="actionnews5.com"/>
    <s v="https://www.actionnews5.com/2026/04/03/220-workers-were-laid-off-amid-gxo-closure-southaven/"/>
  </r>
  <r>
    <n v="160"/>
    <s v="Gambling.com Group"/>
    <x v="1"/>
    <x v="1"/>
    <x v="1"/>
    <n v="1"/>
    <n v="150"/>
    <n v="600"/>
    <n v="0.25"/>
    <d v="2026-05-15T00:00:00"/>
    <d v="2026-05-01T00:00:00"/>
    <s v="Day"/>
    <s v="May 2026"/>
    <s v="May 15"/>
    <x v="1"/>
    <x v="1"/>
    <s v="2 - 100-499"/>
    <n v="0"/>
    <n v="1"/>
    <n v="1"/>
    <n v="0"/>
    <s v="News media"/>
    <s v="frontofficesports.com"/>
    <s v="https://frontofficesports.com/gambling-layoffs-pile-up-as-sports-betting-industry-recalibrates/"/>
  </r>
  <r>
    <n v="161"/>
    <s v="Gemini"/>
    <x v="9"/>
    <x v="1"/>
    <x v="1"/>
    <n v="1"/>
    <n v="200"/>
    <n v="800"/>
    <n v="0.25"/>
    <d v="2026-02-05T00:00:00"/>
    <d v="2026-02-01T00:00:00"/>
    <s v="Day"/>
    <s v="Feb 2026"/>
    <s v="Feb 5"/>
    <x v="1"/>
    <x v="1"/>
    <s v="2 - 100-499"/>
    <n v="0"/>
    <n v="1"/>
    <n v="1"/>
    <n v="0"/>
    <s v="News media"/>
    <s v="bloomberg.com"/>
    <s v="https://www.bloomberg.com/news/articles/2026-03-19/winklevosses-says-jobs-cuts-at-gemini-exchange-reach-30"/>
  </r>
  <r>
    <n v="162"/>
    <s v="Genentech"/>
    <x v="0"/>
    <x v="0"/>
    <x v="0"/>
    <n v="0"/>
    <n v="103"/>
    <n v="13000"/>
    <n v="8.0000000000000002E-3"/>
    <d v="2026-07-01T00:00:00"/>
    <d v="2026-07-01T00:00:00"/>
    <s v="Day"/>
    <s v="Jul 2026"/>
    <s v="Jul 1"/>
    <x v="0"/>
    <x v="2"/>
    <s v="2 - 100-499"/>
    <n v="0"/>
    <n v="1"/>
    <n v="1"/>
    <n v="0"/>
    <s v="News media"/>
    <s v="fiercebiotech.com"/>
    <s v="https://www.fiercebiotech.com/biotech/genentech-sees-103-roles-impacted-gred-rethink-pens-490m-breast-cancer-collab"/>
  </r>
  <r>
    <n v="163"/>
    <s v="General Dynamics"/>
    <x v="1"/>
    <x v="1"/>
    <x v="3"/>
    <n v="0"/>
    <n v="410"/>
    <n v="117000"/>
    <n v="4.0000000000000001E-3"/>
    <d v="2026-08-08T00:00:00"/>
    <d v="2026-08-01T00:00:00"/>
    <s v="Day"/>
    <s v="Aug 2026"/>
    <s v="Aug 8"/>
    <x v="2"/>
    <x v="2"/>
    <s v="2 - 100-499"/>
    <n v="0"/>
    <n v="1"/>
    <n v="1"/>
    <n v="0"/>
    <s v="News media"/>
    <s v="patch.com"/>
    <s v="https://patch.com/virginia/arlington-va/174-gdit-pentagon-workers-could-face-layoffs-august"/>
  </r>
  <r>
    <n v="164"/>
    <s v="General Motors"/>
    <x v="4"/>
    <x v="0"/>
    <x v="3"/>
    <n v="0"/>
    <n v="1140"/>
    <n v="163000"/>
    <n v="6.9999999999999004E-3"/>
    <d v="2026-01-05T00:00:00"/>
    <d v="2026-01-01T00:00:00"/>
    <s v="Day"/>
    <s v="Jan 2026"/>
    <s v="Jan 5"/>
    <x v="2"/>
    <x v="2"/>
    <s v="4 - 1K-4.9K"/>
    <n v="0"/>
    <n v="1"/>
    <n v="2"/>
    <n v="1"/>
    <s v="News media"/>
    <s v="recruitingnewsnetwork.com"/>
    <s v="https://www.recruitingnewsnetwork.com/posts/major-companies-entering-2026-with-mass-layoffs-already-underway"/>
  </r>
  <r>
    <n v="165"/>
    <s v="General Motors"/>
    <x v="4"/>
    <x v="0"/>
    <x v="0"/>
    <n v="0"/>
    <n v="600"/>
    <n v="163000"/>
    <n v="4.0000000000000001E-3"/>
    <d v="2026-05-11T00:00:00"/>
    <d v="2026-05-01T00:00:00"/>
    <s v="Day"/>
    <s v="May 2026"/>
    <s v="May 11"/>
    <x v="2"/>
    <x v="2"/>
    <s v="3 - 500-999"/>
    <n v="0"/>
    <n v="2"/>
    <n v="2"/>
    <n v="1"/>
    <s v="News media"/>
    <s v="cnbc.com"/>
    <s v="https://www.cnbc.com/2026/05/11/gm-layoffs.html"/>
  </r>
  <r>
    <n v="166"/>
    <s v="Georgia-Pacific"/>
    <x v="5"/>
    <x v="0"/>
    <x v="3"/>
    <n v="0"/>
    <n v="120"/>
    <n v="30000"/>
    <n v="4.0000000000000001E-3"/>
    <d v="2026-09-02T00:00:00"/>
    <d v="2026-09-01T00:00:00"/>
    <s v="Day"/>
    <s v="Sep 2026"/>
    <s v="Sep 2"/>
    <x v="0"/>
    <x v="2"/>
    <s v="2 - 100-499"/>
    <n v="0"/>
    <n v="1"/>
    <n v="1"/>
    <n v="0"/>
    <s v="News media"/>
    <s v="fox13seattle.com"/>
    <s v="https://www.fox13seattle.com/news/georgia-pacific-gypsum-llc-more-than-100-tacoma-workers-laid-off"/>
  </r>
  <r>
    <n v="167"/>
    <s v="Gilead Sciences"/>
    <x v="0"/>
    <x v="0"/>
    <x v="4"/>
    <n v="0"/>
    <n v="192"/>
    <n v="209"/>
    <n v="0.91900000000000004"/>
    <d v="2026-05-06T00:00:00"/>
    <d v="2026-05-01T00:00:00"/>
    <s v="Day"/>
    <s v="May 2026"/>
    <s v="May 6"/>
    <x v="1"/>
    <x v="1"/>
    <s v="2 - 100-499"/>
    <n v="0"/>
    <n v="1"/>
    <n v="1"/>
    <n v="0"/>
    <s v="News media"/>
    <s v="fiercebiotech.com"/>
    <s v="https://www.fiercebiotech.com/biotech/after-arcellx-buyout-close-gilead-trims-108-jobs-car-t-biotechs-redwood-city-outpost"/>
  </r>
  <r>
    <n v="168"/>
    <s v="GitLab"/>
    <x v="1"/>
    <x v="1"/>
    <x v="0"/>
    <n v="0"/>
    <n v="361"/>
    <n v="2580"/>
    <n v="0.14000000000000001"/>
    <d v="2026-06-01T00:00:00"/>
    <d v="2026-06-01T00:00:00"/>
    <s v="Day"/>
    <s v="Jun 2026"/>
    <s v="Jun 1"/>
    <x v="3"/>
    <x v="3"/>
    <s v="2 - 100-499"/>
    <n v="0"/>
    <n v="1"/>
    <n v="1"/>
    <n v="0"/>
    <s v="Company filing"/>
    <s v="ir.gitlab.com"/>
    <s v="https://ir.gitlab.com/news/news-details/2026/GitLab-Reports-First-Quarter-Fiscal-Year-2027-Financial-Results/default.aspx"/>
  </r>
  <r>
    <n v="169"/>
    <s v="GladUDid Chick-fil-A"/>
    <x v="7"/>
    <x v="0"/>
    <x v="0"/>
    <n v="0"/>
    <n v="98"/>
    <n v="98"/>
    <n v="1"/>
    <d v="2026-05-07T00:00:00"/>
    <d v="2026-05-01T00:00:00"/>
    <s v="Day"/>
    <s v="May 2026"/>
    <s v="May 7"/>
    <x v="1"/>
    <x v="4"/>
    <s v="1 - &lt;100"/>
    <n v="1"/>
    <n v="1"/>
    <n v="1"/>
    <n v="0"/>
    <s v="Government / WARN filing"/>
    <s v="edd.ca.gov"/>
    <s v="https://edd.ca.gov/en/jobs_and_training/Layoff_Services_WARN/"/>
  </r>
  <r>
    <n v="170"/>
    <s v="Gloat"/>
    <x v="1"/>
    <x v="1"/>
    <x v="1"/>
    <n v="1"/>
    <n v="20"/>
    <n v="100"/>
    <n v="0.2"/>
    <d v="2026-03-02T00:00:00"/>
    <d v="2026-03-01T00:00:00"/>
    <s v="Day"/>
    <s v="Mar 2026"/>
    <s v="Mar 2"/>
    <x v="1"/>
    <x v="3"/>
    <s v="1 - &lt;100"/>
    <n v="0"/>
    <n v="1"/>
    <n v="1"/>
    <n v="0"/>
    <s v="News media"/>
    <s v="en.globes.co.il"/>
    <s v="https://en.globes.co.il/en/article-gloat-lays-off-20-of-workforce-1001536470"/>
  </r>
  <r>
    <n v="171"/>
    <s v="Glovo"/>
    <x v="6"/>
    <x v="0"/>
    <x v="0"/>
    <n v="0"/>
    <n v="750"/>
    <n v="5000"/>
    <n v="0.15"/>
    <d v="2026-03-15T00:00:00"/>
    <d v="2026-03-01T00:00:00"/>
    <s v="Day"/>
    <s v="Mar 2026"/>
    <s v="Mar 15"/>
    <x v="3"/>
    <x v="3"/>
    <s v="3 - 500-999"/>
    <n v="0"/>
    <n v="1"/>
    <n v="1"/>
    <n v="0"/>
    <s v="News media"/>
    <s v="thespanisheye.com"/>
    <s v="https://www.thespanisheye.com/2026/03/15/glovo-to-lay-off-750-riders-in-spain-and-cut-services-in-63-towns-most-of-andalucia-affected/"/>
  </r>
  <r>
    <n v="172"/>
    <s v="GoHealth"/>
    <x v="0"/>
    <x v="0"/>
    <x v="0"/>
    <n v="0"/>
    <n v="103"/>
    <n v="850"/>
    <n v="0.121"/>
    <d v="2026-09-03T00:00:00"/>
    <d v="2026-09-01T00:00:00"/>
    <s v="Day"/>
    <s v="Sep 2026"/>
    <s v="Sep 3"/>
    <x v="1"/>
    <x v="3"/>
    <s v="2 - 100-499"/>
    <n v="0"/>
    <n v="1"/>
    <n v="1"/>
    <n v="0"/>
    <s v="News media"/>
    <s v="beckershospitalreview.com"/>
    <s v="https://www.beckershospitalreview.com/finance/gohealth-to-shut-down-majority-of-operations-cut-103-jobs/"/>
  </r>
  <r>
    <n v="173"/>
    <s v="GoKwik"/>
    <x v="1"/>
    <x v="1"/>
    <x v="1"/>
    <n v="1"/>
    <n v="120"/>
    <n v="600"/>
    <n v="0.2"/>
    <d v="2026-07-11T00:00:00"/>
    <d v="2026-07-01T00:00:00"/>
    <s v="Day"/>
    <s v="Jul 2026"/>
    <s v="Jul 11"/>
    <x v="1"/>
    <x v="3"/>
    <s v="2 - 100-499"/>
    <n v="0"/>
    <n v="1"/>
    <n v="1"/>
    <n v="0"/>
    <s v="News media"/>
    <s v="inc42.com"/>
    <s v="https://inc42.com/buzz/exclusive-gokwik-lays-off-around-120-employees-amid-ai-push/"/>
  </r>
  <r>
    <n v="174"/>
    <s v="GoPro"/>
    <x v="6"/>
    <x v="0"/>
    <x v="0"/>
    <n v="0"/>
    <n v="145"/>
    <n v="631"/>
    <n v="0.23"/>
    <d v="2026-04-07T00:00:00"/>
    <d v="2026-04-01T00:00:00"/>
    <s v="Day"/>
    <s v="Apr 2026"/>
    <s v="Apr 7"/>
    <x v="1"/>
    <x v="3"/>
    <s v="2 - 100-499"/>
    <n v="0"/>
    <n v="1"/>
    <n v="1"/>
    <n v="0"/>
    <s v="Company filing (SEC)"/>
    <s v="sec.gov"/>
    <s v="https://www.sec.gov/cgi-bin/browse-edgar?action=getcompany&amp;CIK=0001500435&amp;type=8-K&amp;dateb=&amp;owner=include&amp;count=10"/>
  </r>
  <r>
    <n v="175"/>
    <s v="Goldman Sachs"/>
    <x v="3"/>
    <x v="0"/>
    <x v="2"/>
    <n v="0"/>
    <n v="1500"/>
    <n v="45000"/>
    <n v="3.3000000000000002E-2"/>
    <d v="2026-03-19T00:00:00"/>
    <d v="2026-03-01T00:00:00"/>
    <s v="Day"/>
    <s v="Mar 2026"/>
    <s v="Mar 19"/>
    <x v="0"/>
    <x v="2"/>
    <s v="4 - 1K-4.9K"/>
    <n v="0"/>
    <n v="1"/>
    <n v="1"/>
    <n v="0"/>
    <s v="News media"/>
    <s v="wkzo.com"/>
    <s v="https://wkzo.com/2026/03/19/goldman-sachs-to-make-performance-based-job-cuts-in-april-source-says/"/>
  </r>
  <r>
    <n v="176"/>
    <s v="Goodyear"/>
    <x v="5"/>
    <x v="0"/>
    <x v="2"/>
    <n v="0"/>
    <n v="1700"/>
    <n v="71000"/>
    <n v="2.4E-2"/>
    <d v="2026-05-13T00:00:00"/>
    <d v="2026-05-01T00:00:00"/>
    <s v="Day"/>
    <s v="May 2026"/>
    <s v="May 13"/>
    <x v="4"/>
    <x v="2"/>
    <s v="4 - 1K-4.9K"/>
    <n v="0"/>
    <n v="1"/>
    <n v="1"/>
    <n v="0"/>
    <s v="News media"/>
    <s v="manufacturingdive.com"/>
    <s v="https://www.manufacturingdive.com/news/goodyear-talks-to-close-fayetteville-north-carolina-tire-factory-usw-1700-workers/820242/"/>
  </r>
  <r>
    <n v="177"/>
    <s v="Google"/>
    <x v="1"/>
    <x v="1"/>
    <x v="0"/>
    <n v="0"/>
    <n v="52"/>
    <n v="198933"/>
    <n v="0"/>
    <d v="2026-08-05T00:00:00"/>
    <d v="2026-08-01T00:00:00"/>
    <s v="Day"/>
    <s v="Aug 2026"/>
    <s v="Aug 5"/>
    <x v="2"/>
    <x v="2"/>
    <s v="1 - &lt;100"/>
    <n v="0"/>
    <n v="1"/>
    <n v="1"/>
    <n v="0"/>
    <s v="News media"/>
    <s v="geekwire.com"/>
    <s v="https://www.geekwire.com/2026/google-to-cut-52-employees-in-washington-state/"/>
  </r>
  <r>
    <n v="178"/>
    <s v="Gossamer Bio"/>
    <x v="0"/>
    <x v="0"/>
    <x v="0"/>
    <n v="0"/>
    <n v="77"/>
    <n v="160"/>
    <n v="0.48099999999999998"/>
    <d v="2026-03-17T00:00:00"/>
    <d v="2026-03-01T00:00:00"/>
    <s v="Day"/>
    <s v="Mar 2026"/>
    <s v="Mar 17"/>
    <x v="1"/>
    <x v="1"/>
    <s v="1 - &lt;100"/>
    <n v="0"/>
    <n v="1"/>
    <n v="1"/>
    <n v="0"/>
    <s v="News media"/>
    <s v="biospace.com"/>
    <s v="https://www.biospace.com/business/gossamer-nearly-halves-workforce-in-savings-push-after-late-stage-hypertension-fail"/>
  </r>
  <r>
    <n v="179"/>
    <s v="Greggs"/>
    <x v="5"/>
    <x v="0"/>
    <x v="0"/>
    <n v="0"/>
    <n v="740"/>
    <n v="33000"/>
    <n v="2.1999999999999999E-2"/>
    <d v="2026-09-30T00:00:00"/>
    <d v="2026-09-01T00:00:00"/>
    <s v="Day"/>
    <s v="Sep 2026"/>
    <s v="Sep 30"/>
    <x v="0"/>
    <x v="2"/>
    <s v="3 - 500-999"/>
    <n v="0"/>
    <n v="1"/>
    <n v="1"/>
    <n v="0"/>
    <s v="News media"/>
    <s v="ca.finance.yahoo.com"/>
    <s v="https://ca.finance.yahoo.com/news/greggs-shut-four-factories-cut-085919868.html"/>
  </r>
  <r>
    <n v="180"/>
    <s v="Group 1 Automotive"/>
    <x v="4"/>
    <x v="0"/>
    <x v="2"/>
    <n v="0"/>
    <n v="700"/>
    <n v="14000"/>
    <n v="0.05"/>
    <d v="2026-05-04T00:00:00"/>
    <d v="2026-05-01T00:00:00"/>
    <s v="Day"/>
    <s v="May 2026"/>
    <s v="May 4"/>
    <x v="0"/>
    <x v="0"/>
    <s v="3 - 500-999"/>
    <n v="0"/>
    <n v="1"/>
    <n v="1"/>
    <n v="0"/>
    <s v="News media"/>
    <s v="autonews.com"/>
    <s v="https://www.autonews.com/retail/an-group-1-cuts-us-jobs-0504/"/>
  </r>
  <r>
    <n v="181"/>
    <s v="Groupon"/>
    <x v="1"/>
    <x v="1"/>
    <x v="1"/>
    <n v="1"/>
    <n v="400"/>
    <n v="1700"/>
    <n v="0.23499999999999999"/>
    <d v="2026-05-21T00:00:00"/>
    <d v="2026-05-01T00:00:00"/>
    <s v="Day"/>
    <s v="May 2026"/>
    <s v="May 21"/>
    <x v="3"/>
    <x v="3"/>
    <s v="2 - 100-499"/>
    <n v="0"/>
    <n v="1"/>
    <n v="1"/>
    <n v="0"/>
    <s v="News media"/>
    <s v="investing.com"/>
    <s v="https://www.investing.com/news/stock-market-news/groupon-stock-jumps-5-on-job-cuts-raised-guidance-93CH-4709657"/>
  </r>
  <r>
    <n v="182"/>
    <s v="H&amp;M"/>
    <x v="7"/>
    <x v="0"/>
    <x v="0"/>
    <n v="0"/>
    <n v="250"/>
    <n v="94744"/>
    <n v="3.0000000000000001E-3"/>
    <d v="2026-08-07T00:00:00"/>
    <d v="2026-08-01T00:00:00"/>
    <s v="Day"/>
    <s v="Aug 2026"/>
    <s v="Aug 7"/>
    <x v="4"/>
    <x v="2"/>
    <s v="2 - 100-499"/>
    <n v="0"/>
    <n v="1"/>
    <n v="1"/>
    <n v="0"/>
    <s v="News media"/>
    <s v="theindustry.fashion"/>
    <s v="https://www.theindustry.fashion/hm-restructuring-uk-office-consultation-2026/"/>
  </r>
  <r>
    <n v="183"/>
    <s v="H&amp;R Block"/>
    <x v="3"/>
    <x v="0"/>
    <x v="0"/>
    <n v="0"/>
    <n v="200"/>
    <n v="4600"/>
    <n v="4.2999999999999997E-2"/>
    <d v="2026-08-05T00:00:00"/>
    <d v="2026-08-01T00:00:00"/>
    <s v="Day"/>
    <s v="Aug 2026"/>
    <s v="Aug 5"/>
    <x v="3"/>
    <x v="2"/>
    <s v="2 - 100-499"/>
    <n v="0"/>
    <n v="1"/>
    <n v="1"/>
    <n v="0"/>
    <s v="Company filing (SEC)"/>
    <s v="sec.gov"/>
    <s v="https://www.sec.gov/Archives/edgar/data/12659/000001265926000026/hrb-20260630.htm"/>
  </r>
  <r>
    <n v="184"/>
    <s v="HDFC Bank"/>
    <x v="3"/>
    <x v="0"/>
    <x v="1"/>
    <n v="1"/>
    <n v="3343"/>
    <n v="214521"/>
    <n v="1.6E-2"/>
    <d v="2026-07-12T00:00:00"/>
    <d v="2026-07-01T00:00:00"/>
    <s v="Day"/>
    <s v="Jul 2026"/>
    <s v="Jul 12"/>
    <x v="2"/>
    <x v="2"/>
    <s v="4 - 1K-4.9K"/>
    <n v="0"/>
    <n v="1"/>
    <n v="1"/>
    <n v="0"/>
    <s v="News media"/>
    <s v="business-standard.com"/>
    <s v="https://www.business-standard.com/industry/news/hdfc-bank-s-workforce-drops-by-over-3-300-amid-push-to-automate-operations-126071200343_1.html"/>
  </r>
  <r>
    <n v="185"/>
    <s v="HSBC"/>
    <x v="3"/>
    <x v="0"/>
    <x v="1"/>
    <n v="1"/>
    <n v="20000"/>
    <n v="210000"/>
    <n v="9.5000000000000001E-2"/>
    <d v="2026-03-19T00:00:00"/>
    <d v="2026-03-01T00:00:00"/>
    <s v="Day"/>
    <s v="Mar 2026"/>
    <s v="Mar 19"/>
    <x v="2"/>
    <x v="0"/>
    <s v="5 - 5K+"/>
    <n v="0"/>
    <n v="1"/>
    <n v="1"/>
    <n v="0"/>
    <s v="News media"/>
    <s v="bloomberg.com"/>
    <s v="https://www.bloomberg.com/news/newsletters/2026-03-19/hsbc-weighs-cutting-20k-jobs-as-ai-takes-centre-stage"/>
  </r>
  <r>
    <n v="186"/>
    <s v="Haas Automation"/>
    <x v="5"/>
    <x v="0"/>
    <x v="0"/>
    <n v="0"/>
    <n v="73"/>
    <n v="1700"/>
    <n v="4.2999999999999997E-2"/>
    <d v="2026-08-19T00:00:00"/>
    <d v="2026-08-01T00:00:00"/>
    <s v="Day"/>
    <s v="Aug 2026"/>
    <s v="Aug 19"/>
    <x v="3"/>
    <x v="2"/>
    <s v="1 - &lt;100"/>
    <n v="0"/>
    <n v="1"/>
    <n v="1"/>
    <n v="0"/>
    <s v="Government / WARN filing"/>
    <s v="edd.ca.gov"/>
    <s v="https://edd.ca.gov/en/jobs_and_training/Layoff_Services_WARN"/>
  </r>
  <r>
    <n v="187"/>
    <s v="Hancock Whitney"/>
    <x v="3"/>
    <x v="0"/>
    <x v="4"/>
    <n v="0"/>
    <n v="52"/>
    <n v="3627"/>
    <n v="1.39999999999999E-2"/>
    <d v="2026-09-30T00:00:00"/>
    <d v="2026-09-01T00:00:00"/>
    <s v="Day"/>
    <s v="Sep 2026"/>
    <s v="Sep 30"/>
    <x v="3"/>
    <x v="2"/>
    <s v="1 - &lt;100"/>
    <n v="0"/>
    <n v="1"/>
    <n v="1"/>
    <n v="0"/>
    <s v="News media"/>
    <s v="clickorlando.com"/>
    <s v="https://www.clickorlando.com/news/local/2026/10/02/mass-layoffs-reported-at-two-orlando-companies/"/>
  </r>
  <r>
    <n v="188"/>
    <s v="Harley-Davidson"/>
    <x v="4"/>
    <x v="0"/>
    <x v="0"/>
    <n v="0"/>
    <n v="100"/>
    <n v="5500"/>
    <n v="1.7999999999999999E-2"/>
    <d v="2026-03-24T00:00:00"/>
    <d v="2026-03-01T00:00:00"/>
    <s v="Day"/>
    <s v="Mar 2026"/>
    <s v="Mar 24"/>
    <x v="3"/>
    <x v="2"/>
    <s v="2 - 100-499"/>
    <n v="0"/>
    <n v="1"/>
    <n v="1"/>
    <n v="0"/>
    <s v="News media"/>
    <s v="wpr.org"/>
    <s v="https://www.wpr.org/news/harley-davidson-reduction-global-workforce"/>
  </r>
  <r>
    <n v="189"/>
    <s v="Health First"/>
    <x v="0"/>
    <x v="0"/>
    <x v="0"/>
    <n v="0"/>
    <n v="214"/>
    <n v="10350"/>
    <n v="2.1000000000000001E-2"/>
    <d v="2026-09-16T00:00:00"/>
    <d v="2026-09-01T00:00:00"/>
    <s v="Day"/>
    <s v="Sep 2026"/>
    <s v="Sep 16"/>
    <x v="0"/>
    <x v="2"/>
    <s v="2 - 100-499"/>
    <n v="0"/>
    <n v="1"/>
    <n v="1"/>
    <n v="0"/>
    <s v="News media"/>
    <s v="wftv.com"/>
    <s v="https://www.wftv.com/news/local/health-first-announces-layoffs-ends-some-local-programs/X4FGTXAHYFHM5KHZNE7NIDVMAI/"/>
  </r>
  <r>
    <n v="190"/>
    <s v="Heineken"/>
    <x v="6"/>
    <x v="0"/>
    <x v="3"/>
    <n v="0"/>
    <n v="6000"/>
    <n v="87000"/>
    <n v="6.9000000000000006E-2"/>
    <d v="2026-02-12T00:00:00"/>
    <d v="2026-02-01T00:00:00"/>
    <s v="Day"/>
    <s v="Feb 2026"/>
    <s v="Feb 12"/>
    <x v="4"/>
    <x v="0"/>
    <s v="5 - 5K+"/>
    <n v="0"/>
    <n v="1"/>
    <n v="1"/>
    <n v="0"/>
    <s v="News media"/>
    <s v="livenowfox.com"/>
    <s v="https://www.livenowfox.com/news/2026-layoffs-list-companies-cutting-jobs-year"/>
  </r>
  <r>
    <n v="191"/>
    <s v="Hello Bello"/>
    <x v="6"/>
    <x v="0"/>
    <x v="0"/>
    <n v="0"/>
    <n v="67"/>
    <n v="150"/>
    <n v="0.44700000000000001"/>
    <d v="2026-09-28T00:00:00"/>
    <d v="2026-09-01T00:00:00"/>
    <s v="Day"/>
    <s v="Sep 2026"/>
    <s v="Sep 28"/>
    <x v="1"/>
    <x v="1"/>
    <s v="1 - &lt;100"/>
    <n v="0"/>
    <n v="1"/>
    <n v="1"/>
    <n v="0"/>
    <s v="News media"/>
    <s v="kwtx.com"/>
    <s v="https://www.kwtx.com/2026/09/30/hello-bello-facility-waco-close-laying-off-nearly-70-employees/"/>
  </r>
  <r>
    <n v="192"/>
    <s v="HelloFresh"/>
    <x v="6"/>
    <x v="0"/>
    <x v="0"/>
    <n v="0"/>
    <n v="374"/>
    <n v="18000"/>
    <n v="2.1000000000000001E-2"/>
    <d v="2026-08-18T00:00:00"/>
    <d v="2026-08-01T00:00:00"/>
    <s v="Day"/>
    <s v="Aug 2026"/>
    <s v="Aug 18"/>
    <x v="0"/>
    <x v="2"/>
    <s v="2 - 100-499"/>
    <n v="0"/>
    <n v="1"/>
    <n v="1"/>
    <n v="0"/>
    <s v="News media"/>
    <s v="njbiz.com"/>
    <s v="https://njbiz.com/hellofresh-swedesboro-distribution-center-closure/"/>
  </r>
  <r>
    <n v="193"/>
    <s v="Home Depot"/>
    <x v="7"/>
    <x v="0"/>
    <x v="0"/>
    <n v="0"/>
    <n v="800"/>
    <n v="475000"/>
    <n v="2E-3"/>
    <d v="2026-01-01T00:00:00"/>
    <d v="2026-01-01T00:00:00"/>
    <s v="Month"/>
    <s v="Jan 2026"/>
    <s v="Jan 2026"/>
    <x v="2"/>
    <x v="2"/>
    <s v="3 - 500-999"/>
    <n v="0"/>
    <n v="1"/>
    <n v="1"/>
    <n v="0"/>
    <s v="News media"/>
    <s v="newsnationnow.com"/>
    <s v="https://www.newsnationnow.com/business/major-employers-job-cuts-2026/"/>
  </r>
  <r>
    <n v="194"/>
    <s v="Horizon BCBS NJ"/>
    <x v="0"/>
    <x v="0"/>
    <x v="2"/>
    <n v="0"/>
    <n v="242"/>
    <n v="4840"/>
    <n v="0.05"/>
    <d v="2026-01-29T00:00:00"/>
    <d v="2026-01-01T00:00:00"/>
    <s v="Day"/>
    <s v="Jan 2026"/>
    <s v="Jan 29"/>
    <x v="3"/>
    <x v="0"/>
    <s v="2 - 100-499"/>
    <n v="0"/>
    <n v="1"/>
    <n v="1"/>
    <n v="0"/>
    <s v="News media"/>
    <s v="njbiz.com"/>
    <s v="https://njbiz.com/horizon-bcbs-nj-layoffs-242-jobs/"/>
  </r>
  <r>
    <n v="195"/>
    <s v="Howard University"/>
    <x v="12"/>
    <x v="0"/>
    <x v="2"/>
    <n v="0"/>
    <n v="600"/>
    <n v="3750"/>
    <n v="0.16"/>
    <d v="2026-08-10T00:00:00"/>
    <d v="2026-08-01T00:00:00"/>
    <s v="Day"/>
    <s v="Aug 2026"/>
    <s v="Aug 10"/>
    <x v="3"/>
    <x v="3"/>
    <s v="3 - 500-999"/>
    <n v="0"/>
    <n v="1"/>
    <n v="1"/>
    <n v="0"/>
    <s v="News media"/>
    <s v="hbcugameday.com"/>
    <s v="https://hbcugameday.com/2026/08/07/howard-university-workforce-buyouts-highlight-new-financial-pressures-facing-hbcus/"/>
  </r>
  <r>
    <n v="196"/>
    <s v="HubSpot"/>
    <x v="1"/>
    <x v="1"/>
    <x v="1"/>
    <n v="1"/>
    <n v="660"/>
    <n v="8882"/>
    <n v="7.3999999999999996E-2"/>
    <d v="2026-10-06T00:00:00"/>
    <d v="2026-10-01T00:00:00"/>
    <s v="Day"/>
    <s v="Oct 2026"/>
    <s v="Oct 6"/>
    <x v="3"/>
    <x v="0"/>
    <s v="3 - 500-999"/>
    <n v="0"/>
    <n v="1"/>
    <n v="1"/>
    <n v="0"/>
    <s v="News media"/>
    <s v="nbcboston.com"/>
    <s v="https://www.nbcboston.com/boston-business-journal/cambridge-based-hubspot-cuts-660-jobs-in-strategic-shift/4026561/"/>
  </r>
  <r>
    <n v="197"/>
    <s v="IGT"/>
    <x v="8"/>
    <x v="0"/>
    <x v="4"/>
    <n v="0"/>
    <n v="700"/>
    <n v="7000"/>
    <n v="0.1"/>
    <d v="2026-03-24T00:00:00"/>
    <d v="2026-03-01T00:00:00"/>
    <s v="Day"/>
    <s v="Mar 2026"/>
    <s v="Mar 24"/>
    <x v="3"/>
    <x v="3"/>
    <s v="3 - 500-999"/>
    <n v="0"/>
    <n v="1"/>
    <n v="1"/>
    <n v="0"/>
    <s v="News media"/>
    <s v="sbcamericas.com"/>
    <s v="https://sbcamericas.com/2026/03/24/reports-igt-laying-off-700-employees-worldwide-to-streamline-business/"/>
  </r>
  <r>
    <n v="198"/>
    <s v="IKEA (Ingka Group)"/>
    <x v="7"/>
    <x v="0"/>
    <x v="0"/>
    <n v="0"/>
    <n v="800"/>
    <n v="166000"/>
    <n v="5.0000000000000001E-3"/>
    <d v="2026-03-19T00:00:00"/>
    <d v="2026-03-01T00:00:00"/>
    <s v="Day"/>
    <s v="Mar 2026"/>
    <s v="Mar 19"/>
    <x v="2"/>
    <x v="2"/>
    <s v="3 - 500-999"/>
    <n v="0"/>
    <n v="1"/>
    <n v="1"/>
    <n v="0"/>
    <s v="News media"/>
    <s v="retailgazette.co.uk"/>
    <s v="https://www.retailgazette.co.uk/blog/2026/03/ikea-ingka-cut-roles-too-complex/"/>
  </r>
  <r>
    <n v="199"/>
    <s v="Iberia"/>
    <x v="4"/>
    <x v="0"/>
    <x v="0"/>
    <n v="0"/>
    <n v="996"/>
    <n v="10000"/>
    <n v="0.1"/>
    <d v="2026-03-13T00:00:00"/>
    <d v="2026-03-01T00:00:00"/>
    <s v="Day"/>
    <s v="Mar 2026"/>
    <s v="Mar 13"/>
    <x v="0"/>
    <x v="3"/>
    <s v="3 - 500-999"/>
    <n v="0"/>
    <n v="1"/>
    <n v="1"/>
    <n v="0"/>
    <s v="News media"/>
    <s v="thespanisheye.com"/>
    <s v="https://www.thespanisheye.com/2026/03/13/iberia-to-lay-off-almost-1000-workers-figure-is-nearly-10-of-its-workforce/"/>
  </r>
  <r>
    <n v="200"/>
    <s v="Imperial Brands"/>
    <x v="6"/>
    <x v="0"/>
    <x v="2"/>
    <n v="0"/>
    <n v="2000"/>
    <n v="25800"/>
    <n v="7.8E-2"/>
    <d v="2026-08-10T00:00:00"/>
    <d v="2026-08-01T00:00:00"/>
    <s v="Day"/>
    <s v="Aug 2026"/>
    <s v="Aug 10"/>
    <x v="0"/>
    <x v="0"/>
    <s v="4 - 1K-4.9K"/>
    <n v="0"/>
    <n v="1"/>
    <n v="1"/>
    <n v="0"/>
    <s v="News media"/>
    <s v="qz.com"/>
    <s v="https://qz.com/imperial-brands-layoffs-us-europe-itg-brands-081026"/>
  </r>
  <r>
    <n v="201"/>
    <s v="Innovaccer"/>
    <x v="1"/>
    <x v="1"/>
    <x v="1"/>
    <n v="1"/>
    <n v="340"/>
    <n v="2600"/>
    <n v="0.13100000000000001"/>
    <d v="2026-05-15T00:00:00"/>
    <d v="2026-05-01T00:00:00"/>
    <s v="Day"/>
    <s v="May 2026"/>
    <s v="May 15"/>
    <x v="3"/>
    <x v="3"/>
    <s v="2 - 100-499"/>
    <n v="0"/>
    <n v="1"/>
    <n v="1"/>
    <n v="0"/>
    <s v="News media"/>
    <s v="entrackr.com"/>
    <s v="https://entrackr.com/news/innovaccer-lays-off-340-employees-amid-shift-to-ai-native-operations-11838352"/>
  </r>
  <r>
    <n v="202"/>
    <s v="Insteel Industries"/>
    <x v="5"/>
    <x v="0"/>
    <x v="0"/>
    <n v="0"/>
    <n v="65"/>
    <n v="1007"/>
    <n v="6.5000000000000002E-2"/>
    <d v="2026-08-21T00:00:00"/>
    <d v="2026-08-01T00:00:00"/>
    <s v="Day"/>
    <s v="Aug 2026"/>
    <s v="Aug 21"/>
    <x v="3"/>
    <x v="0"/>
    <s v="1 - &lt;100"/>
    <n v="0"/>
    <n v="1"/>
    <n v="1"/>
    <n v="0"/>
    <s v="Company filing (SEC)"/>
    <s v="sec.gov"/>
    <s v="https://www.sec.gov/Archives/edgar/data/764401/000143774926028729/ex_1007728.htm"/>
  </r>
  <r>
    <n v="203"/>
    <s v="Intel"/>
    <x v="1"/>
    <x v="1"/>
    <x v="0"/>
    <n v="0"/>
    <n v="15000"/>
    <n v="110000"/>
    <n v="0.13600000000000001"/>
    <d v="2026-01-01T00:00:00"/>
    <d v="2026-01-01T00:00:00"/>
    <s v="Month"/>
    <s v="Jan 2026"/>
    <s v="Jan 2026"/>
    <x v="2"/>
    <x v="3"/>
    <s v="5 - 5K+"/>
    <n v="0"/>
    <n v="1"/>
    <n v="2"/>
    <n v="1"/>
    <s v="News media"/>
    <s v="recruitingnewsnetwork.com"/>
    <s v="https://www.recruitingnewsnetwork.com/posts/major-companies-entering-2026-with-mass-layoffs-already-underway"/>
  </r>
  <r>
    <n v="204"/>
    <s v="Intel"/>
    <x v="1"/>
    <x v="1"/>
    <x v="0"/>
    <n v="0"/>
    <n v="52"/>
    <n v="85100"/>
    <n v="1E-3"/>
    <d v="2026-09-18T00:00:00"/>
    <d v="2026-09-01T00:00:00"/>
    <s v="Day"/>
    <s v="Sep 2026"/>
    <s v="Sep 18"/>
    <x v="4"/>
    <x v="2"/>
    <s v="1 - &lt;100"/>
    <n v="0"/>
    <n v="2"/>
    <n v="2"/>
    <n v="1"/>
    <s v="Government / WARN filing"/>
    <s v="edd.ca.gov"/>
    <s v="https://edd.ca.gov/en/jobs_and_training/Layoff_Services_WARN/"/>
  </r>
  <r>
    <n v="205"/>
    <s v="Inter IKEA Group"/>
    <x v="7"/>
    <x v="0"/>
    <x v="0"/>
    <n v="0"/>
    <n v="850"/>
    <n v="27700"/>
    <n v="3.1E-2"/>
    <d v="2026-05-18T00:00:00"/>
    <d v="2026-05-01T00:00:00"/>
    <s v="Day"/>
    <s v="May 2026"/>
    <s v="May 18"/>
    <x v="0"/>
    <x v="2"/>
    <s v="3 - 500-999"/>
    <n v="0"/>
    <n v="1"/>
    <n v="1"/>
    <n v="0"/>
    <s v="News media"/>
    <s v="ndtv.com"/>
    <s v="https://www.ndtv.com/world-news/ikea-layoff-grown-bit-too-complex-ikea-to-cut-850-jobs-at-parent-company-11512530"/>
  </r>
  <r>
    <n v="206"/>
    <s v="International Motors"/>
    <x v="4"/>
    <x v="0"/>
    <x v="0"/>
    <n v="0"/>
    <n v="1341"/>
    <n v="15000"/>
    <n v="8.8999999999999996E-2"/>
    <d v="2026-07-30T00:00:00"/>
    <d v="2026-07-01T00:00:00"/>
    <s v="Day"/>
    <s v="Jul 2026"/>
    <s v="Jul 30"/>
    <x v="0"/>
    <x v="0"/>
    <s v="4 - 1K-4.9K"/>
    <n v="0"/>
    <n v="1"/>
    <n v="1"/>
    <n v="0"/>
    <s v="News media"/>
    <s v="springfieldnewssun.com"/>
    <s v="https://www.springfieldnewssun.com/local/international-motors-files-warn-notice-on-layoffs-of-1-341-springfield-workers/article_d89d6d09-1c2c-5529-b045-3513cf8b7e7a.html"/>
  </r>
  <r>
    <n v="207"/>
    <s v="Intuit"/>
    <x v="9"/>
    <x v="1"/>
    <x v="1"/>
    <n v="1"/>
    <n v="3000"/>
    <n v="18200"/>
    <n v="0.16500000000000001"/>
    <d v="2026-05-20T00:00:00"/>
    <d v="2026-05-01T00:00:00"/>
    <s v="Day"/>
    <s v="May 2026"/>
    <s v="May 20"/>
    <x v="0"/>
    <x v="3"/>
    <s v="4 - 1K-4.9K"/>
    <n v="0"/>
    <n v="1"/>
    <n v="1"/>
    <n v="0"/>
    <s v="News media"/>
    <s v="finance.yahoo.com"/>
    <s v="https://finance.yahoo.com/sectors/technology/articles/exclusive-intuit-cut-17-global-130424207.html"/>
  </r>
  <r>
    <n v="208"/>
    <s v="JBS"/>
    <x v="5"/>
    <x v="0"/>
    <x v="0"/>
    <n v="0"/>
    <n v="1485"/>
    <n v="280000"/>
    <n v="5.0000000000000001E-3"/>
    <d v="2026-06-12T00:00:00"/>
    <d v="2026-06-01T00:00:00"/>
    <s v="Day"/>
    <s v="Jun 2026"/>
    <s v="Jun 12"/>
    <x v="2"/>
    <x v="2"/>
    <s v="4 - 1K-4.9K"/>
    <n v="0"/>
    <n v="1"/>
    <n v="1"/>
    <n v="0"/>
    <s v="News media"/>
    <s v="wfmz.com"/>
    <s v="https://www.wfmz.com/news/area/southeastern-pa/upper-montgomery-county/meatpacking-company-to-close-montgomery-county-plant-1-500-jobs-at-stake/article_1d0d2b72-bf34-4dc5-becd-e6df64983ea1.html"/>
  </r>
  <r>
    <n v="209"/>
    <s v="JPMorgan Chase"/>
    <x v="3"/>
    <x v="0"/>
    <x v="0"/>
    <n v="0"/>
    <n v="121"/>
    <n v="300000"/>
    <n v="0"/>
    <d v="2026-02-01T00:00:00"/>
    <d v="2026-02-01T00:00:00"/>
    <s v="Month"/>
    <s v="Feb 2026"/>
    <s v="Feb 2026"/>
    <x v="2"/>
    <x v="2"/>
    <s v="2 - 100-499"/>
    <n v="0"/>
    <n v="1"/>
    <n v="2"/>
    <n v="1"/>
    <s v="News media"/>
    <s v="citywire.com"/>
    <s v="https://citywire.com/pro-buyer/news/jp-morgans-first-round-of-layoffs-to-hit-new-jersey-by-may/a2460400"/>
  </r>
  <r>
    <n v="210"/>
    <s v="JPMorgan Chase"/>
    <x v="3"/>
    <x v="0"/>
    <x v="0"/>
    <n v="0"/>
    <n v="63"/>
    <n v="300000"/>
    <n v="0"/>
    <d v="2026-08-21T00:00:00"/>
    <d v="2026-08-01T00:00:00"/>
    <s v="Day"/>
    <s v="Aug 2026"/>
    <s v="Aug 21"/>
    <x v="2"/>
    <x v="2"/>
    <s v="1 - &lt;100"/>
    <n v="0"/>
    <n v="2"/>
    <n v="2"/>
    <n v="1"/>
    <s v="News media"/>
    <s v="finance.yahoo.com"/>
    <s v="https://finance.yahoo.com/markets/stocks/articles/major-n-j-financial-services-130115839.html"/>
  </r>
  <r>
    <n v="211"/>
    <s v="Jabil"/>
    <x v="5"/>
    <x v="0"/>
    <x v="0"/>
    <n v="0"/>
    <n v="382"/>
    <n v="135000"/>
    <n v="3.0000000000000001E-3"/>
    <d v="2026-08-20T00:00:00"/>
    <d v="2026-08-01T00:00:00"/>
    <s v="Day"/>
    <s v="Aug 2026"/>
    <s v="Aug 20"/>
    <x v="2"/>
    <x v="2"/>
    <s v="2 - 100-499"/>
    <n v="0"/>
    <n v="1"/>
    <n v="1"/>
    <n v="0"/>
    <s v="Government / WARN filing"/>
    <s v="edd.ca.gov"/>
    <s v="https://edd.ca.gov/en/jobs_and_training/Layoff_Services_WARN"/>
  </r>
  <r>
    <n v="212"/>
    <s v="Jaguar Land Rover"/>
    <x v="4"/>
    <x v="0"/>
    <x v="2"/>
    <n v="0"/>
    <n v="4000"/>
    <n v="40000"/>
    <n v="0.1"/>
    <d v="2026-09-05T00:00:00"/>
    <d v="2026-09-01T00:00:00"/>
    <s v="Day"/>
    <s v="Sep 2026"/>
    <s v="Sep 5"/>
    <x v="0"/>
    <x v="3"/>
    <s v="4 - 1K-4.9K"/>
    <n v="0"/>
    <n v="1"/>
    <n v="1"/>
    <n v="0"/>
    <s v="News media"/>
    <s v="coventrytelegraph.net"/>
    <s v="https://www.coventrytelegraph.net/news/coventry-news/jaguar-land-rover-cut-4000-34573511"/>
  </r>
  <r>
    <n v="213"/>
    <s v="Jerith Manufacturing (Assa Abloy)"/>
    <x v="5"/>
    <x v="0"/>
    <x v="0"/>
    <n v="0"/>
    <n v="61"/>
    <n v="64000"/>
    <n v="1E-3"/>
    <d v="2026-09-08T00:00:00"/>
    <d v="2026-09-01T00:00:00"/>
    <s v="Day"/>
    <s v="Sep 2026"/>
    <s v="Sep 8"/>
    <x v="4"/>
    <x v="2"/>
    <s v="1 - &lt;100"/>
    <n v="0"/>
    <n v="1"/>
    <n v="1"/>
    <n v="0"/>
    <s v="News media"/>
    <s v="inquirer.com"/>
    <s v="https://www.inquirer.com/business/jerith-manufacturing-fence-philadelphia-closing-ameristar-20260908.html"/>
  </r>
  <r>
    <n v="214"/>
    <s v="John Muir Health"/>
    <x v="0"/>
    <x v="0"/>
    <x v="0"/>
    <n v="0"/>
    <n v="78"/>
    <n v="6000"/>
    <n v="1.2999999999999999E-2"/>
    <d v="2026-08-27T00:00:00"/>
    <d v="2026-08-01T00:00:00"/>
    <s v="Day"/>
    <s v="Aug 2026"/>
    <s v="Aug 27"/>
    <x v="3"/>
    <x v="2"/>
    <s v="1 - &lt;100"/>
    <n v="0"/>
    <n v="1"/>
    <n v="1"/>
    <n v="0"/>
    <s v="Government / WARN filing"/>
    <s v="edd.ca.gov"/>
    <s v="https://edd.ca.gov/en/jobs_and_training/Layoff_Services_WARN/"/>
  </r>
  <r>
    <n v="215"/>
    <s v="Johns Hopkins University"/>
    <x v="12"/>
    <x v="0"/>
    <x v="2"/>
    <n v="0"/>
    <n v="110"/>
    <n v="28000"/>
    <n v="4.0000000000000001E-3"/>
    <d v="2026-06-25T00:00:00"/>
    <d v="2026-06-01T00:00:00"/>
    <s v="Day"/>
    <s v="Jun 2026"/>
    <s v="Jun 25"/>
    <x v="0"/>
    <x v="2"/>
    <s v="2 - 100-499"/>
    <n v="0"/>
    <n v="1"/>
    <n v="1"/>
    <n v="0"/>
    <s v="News media"/>
    <s v="baltimoresun.com"/>
    <s v="https://www.baltimoresun.com/2026/06/25/johns-hopkins-university-layoffs/"/>
  </r>
  <r>
    <n v="216"/>
    <s v="Johnson &amp; Johnson"/>
    <x v="0"/>
    <x v="0"/>
    <x v="0"/>
    <n v="0"/>
    <n v="56"/>
    <n v="138200"/>
    <n v="0"/>
    <d v="2026-05-27T00:00:00"/>
    <d v="2026-05-01T00:00:00"/>
    <s v="Day"/>
    <s v="May 2026"/>
    <s v="May 27"/>
    <x v="2"/>
    <x v="2"/>
    <s v="1 - &lt;100"/>
    <n v="0"/>
    <n v="1"/>
    <n v="2"/>
    <n v="1"/>
    <s v="News media"/>
    <s v="fiercepharma.com"/>
    <s v="https://www.fiercepharma.com/pharma/jj-separates-its-orthopedics-business-it-lays-56-new-jersey"/>
  </r>
  <r>
    <n v="217"/>
    <s v="Johnson &amp; Johnson"/>
    <x v="0"/>
    <x v="0"/>
    <x v="0"/>
    <n v="0"/>
    <n v="87"/>
    <n v="138200"/>
    <n v="1E-3"/>
    <d v="2026-09-21T00:00:00"/>
    <d v="2026-09-01T00:00:00"/>
    <s v="Day"/>
    <s v="Sep 2026"/>
    <s v="Sep 21"/>
    <x v="2"/>
    <x v="2"/>
    <s v="1 - &lt;100"/>
    <n v="0"/>
    <n v="2"/>
    <n v="2"/>
    <n v="1"/>
    <s v="Government / WARN filing"/>
    <s v="nj.gov"/>
    <s v="https://www.nj.gov/labor/assets/PDFs/WARN/2026_WARN_Notice_Archive.pdf"/>
  </r>
  <r>
    <n v="218"/>
    <s v="Just Group"/>
    <x v="3"/>
    <x v="0"/>
    <x v="4"/>
    <n v="0"/>
    <n v="300"/>
    <n v="1300"/>
    <n v="0.23100000000000001"/>
    <d v="2026-09-29T00:00:00"/>
    <d v="2026-09-01T00:00:00"/>
    <s v="Day"/>
    <s v="Sep 2026"/>
    <s v="Sep 29"/>
    <x v="3"/>
    <x v="3"/>
    <s v="2 - 100-499"/>
    <n v="0"/>
    <n v="1"/>
    <n v="1"/>
    <n v="0"/>
    <s v="News media"/>
    <s v="greatdriffieldradio.co.uk"/>
    <s v="https://greatdriffieldradio.co.uk/business/pensions-firm-just-axes-quarter-of-workforce-months-after-takeover/"/>
  </r>
  <r>
    <n v="219"/>
    <s v="K&amp;L Gates"/>
    <x v="3"/>
    <x v="0"/>
    <x v="0"/>
    <n v="0"/>
    <n v="150"/>
    <n v="3400"/>
    <n v="4.3999999999999997E-2"/>
    <d v="2026-07-16T00:00:00"/>
    <d v="2026-07-01T00:00:00"/>
    <s v="Day"/>
    <s v="Jul 2026"/>
    <s v="Jul 16"/>
    <x v="3"/>
    <x v="2"/>
    <s v="2 - 100-499"/>
    <n v="0"/>
    <n v="1"/>
    <n v="1"/>
    <n v="0"/>
    <s v="News media"/>
    <s v="abovethelaw.com"/>
    <s v="https://abovethelaw.com/2026/07/layoff-alert-kl-gates-announces-significant-cuts/"/>
  </r>
  <r>
    <n v="220"/>
    <s v="KPMG Australia"/>
    <x v="3"/>
    <x v="0"/>
    <x v="0"/>
    <n v="0"/>
    <n v="387"/>
    <n v="10000"/>
    <n v="3.9E-2"/>
    <d v="2026-08-24T00:00:00"/>
    <d v="2026-08-01T00:00:00"/>
    <s v="Day"/>
    <s v="Aug 2026"/>
    <s v="Aug 24"/>
    <x v="0"/>
    <x v="2"/>
    <s v="2 - 100-499"/>
    <n v="0"/>
    <n v="1"/>
    <n v="1"/>
    <n v="0"/>
    <s v="News media"/>
    <s v="abc.net.au"/>
    <s v="https://www.abc.net.au/news/2026-08-24/kpmg-restructure-job-cuts-after-whistleblower-audit-leak-scandal/107070260"/>
  </r>
  <r>
    <n v="221"/>
    <s v="KPMG UK"/>
    <x v="3"/>
    <x v="0"/>
    <x v="2"/>
    <n v="0"/>
    <n v="600"/>
    <n v="7100"/>
    <n v="8.5000000000000006E-2"/>
    <d v="2026-03-27T00:00:00"/>
    <d v="2026-03-01T00:00:00"/>
    <s v="Day"/>
    <s v="Mar 2026"/>
    <s v="Mar 27"/>
    <x v="3"/>
    <x v="0"/>
    <s v="3 - 500-999"/>
    <n v="0"/>
    <n v="1"/>
    <n v="2"/>
    <n v="1"/>
    <s v="News media"/>
    <s v="tradingview.com"/>
    <s v="https://www.tradingview.com/news/reuters.com,2026:newsml_L6N40F18I:0-kpmg-plans-to-cut-hundreds-of-jobs-in-auditing-division-bloomberg-news-reports/"/>
  </r>
  <r>
    <n v="222"/>
    <s v="KPMG UK"/>
    <x v="3"/>
    <x v="0"/>
    <x v="3"/>
    <n v="0"/>
    <n v="200"/>
    <n v="15800"/>
    <n v="1.2999999999999999E-2"/>
    <d v="2026-09-15T00:00:00"/>
    <d v="2026-09-01T00:00:00"/>
    <s v="Day"/>
    <s v="Sep 2026"/>
    <s v="Sep 15"/>
    <x v="0"/>
    <x v="2"/>
    <s v="2 - 100-499"/>
    <n v="0"/>
    <n v="2"/>
    <n v="2"/>
    <n v="1"/>
    <s v="News media"/>
    <s v="personneltoday.com"/>
    <s v="https://www.personneltoday.com/hr/kpmg-to-cut-200-jobs-from-its-uk-advisory-business/"/>
  </r>
  <r>
    <n v="223"/>
    <s v="KPMG US"/>
    <x v="3"/>
    <x v="0"/>
    <x v="2"/>
    <n v="0"/>
    <n v="100"/>
    <n v="1000"/>
    <n v="0.1"/>
    <d v="2026-04-23T00:00:00"/>
    <d v="2026-04-01T00:00:00"/>
    <s v="Day"/>
    <s v="Apr 2026"/>
    <s v="Apr 23"/>
    <x v="3"/>
    <x v="3"/>
    <s v="2 - 100-499"/>
    <n v="0"/>
    <n v="1"/>
    <n v="1"/>
    <n v="0"/>
    <s v="News media"/>
    <s v="accountingtoday.com"/>
    <s v="https://www.accountingtoday.com/news/kpmg-lays-off-10-of-us-audit-partners"/>
  </r>
  <r>
    <n v="224"/>
    <s v="Kaiser Permanente"/>
    <x v="0"/>
    <x v="0"/>
    <x v="0"/>
    <n v="0"/>
    <n v="147"/>
    <n v="225854"/>
    <n v="1E-3"/>
    <d v="2026-09-21T00:00:00"/>
    <d v="2026-09-01T00:00:00"/>
    <s v="Day"/>
    <s v="Sep 2026"/>
    <s v="Sep 21"/>
    <x v="2"/>
    <x v="2"/>
    <s v="2 - 100-499"/>
    <n v="0"/>
    <n v="1"/>
    <n v="1"/>
    <n v="0"/>
    <s v="News media"/>
    <s v="beckershospitalreview.com"/>
    <s v="https://www.beckershospitalreview.com/finance/kaiser-permanente-to-lay-off-147-workers-across-california/"/>
  </r>
  <r>
    <n v="225"/>
    <s v="Kellanova"/>
    <x v="5"/>
    <x v="0"/>
    <x v="0"/>
    <n v="0"/>
    <n v="112"/>
    <n v="24000"/>
    <n v="5.0000000000000001E-3"/>
    <d v="2026-09-04T00:00:00"/>
    <d v="2026-09-01T00:00:00"/>
    <s v="Day"/>
    <s v="Sep 2026"/>
    <s v="Sep 4"/>
    <x v="0"/>
    <x v="2"/>
    <s v="2 - 100-499"/>
    <n v="0"/>
    <n v="1"/>
    <n v="1"/>
    <n v="0"/>
    <s v="Government / WARN filing"/>
    <s v="edd.ca.gov"/>
    <s v="https://edd.ca.gov/en/jobs_and_training/Layoff_Services_WARN/"/>
  </r>
  <r>
    <n v="226"/>
    <s v="Kenco Logistic Services"/>
    <x v="4"/>
    <x v="0"/>
    <x v="0"/>
    <n v="0"/>
    <n v="52"/>
    <n v="7500"/>
    <n v="6.9999999999999004E-3"/>
    <d v="2026-09-09T00:00:00"/>
    <d v="2026-09-01T00:00:00"/>
    <s v="Day"/>
    <s v="Sep 2026"/>
    <s v="Sep 9"/>
    <x v="3"/>
    <x v="2"/>
    <s v="1 - &lt;100"/>
    <n v="0"/>
    <n v="1"/>
    <n v="1"/>
    <n v="0"/>
    <s v="News media"/>
    <s v="wfmz.com"/>
    <s v="https://www.wfmz.com/business/dozens-of-jobs-impacted-by-northampton-county-warehouse-closure-warn-notice-says/article_d933eeca-8699-49f1-9ef6-b36ed1e73a34.html"/>
  </r>
  <r>
    <n v="227"/>
    <s v="Kings Food Markets (Albertsons)"/>
    <x v="7"/>
    <x v="0"/>
    <x v="0"/>
    <n v="0"/>
    <n v="122"/>
    <n v="280000"/>
    <n v="0"/>
    <d v="2026-10-02T00:00:00"/>
    <d v="2026-10-01T00:00:00"/>
    <s v="Day"/>
    <s v="Oct 2026"/>
    <s v="Oct 2"/>
    <x v="2"/>
    <x v="2"/>
    <s v="2 - 100-499"/>
    <n v="0"/>
    <n v="1"/>
    <n v="1"/>
    <n v="0"/>
    <s v="News media"/>
    <s v="nj1015.com"/>
    <s v="https://nj1015.com/october-2026-nj-layoffs/"/>
  </r>
  <r>
    <n v="228"/>
    <s v="Kyndryl"/>
    <x v="1"/>
    <x v="1"/>
    <x v="0"/>
    <n v="0"/>
    <n v="10000"/>
    <n v="73000"/>
    <n v="0.1369999999999999"/>
    <d v="2026-05-06T00:00:00"/>
    <d v="2026-05-01T00:00:00"/>
    <s v="Day"/>
    <s v="May 2026"/>
    <s v="May 6"/>
    <x v="4"/>
    <x v="3"/>
    <s v="5 - 5K+"/>
    <n v="0"/>
    <n v="1"/>
    <n v="1"/>
    <n v="0"/>
    <s v="News media"/>
    <s v="kyndryl.com"/>
    <s v="https://www.kyndryl.com/us/en/about-us/news/2026/05/annual-and-fourth-quarter-2026-earnings-results"/>
  </r>
  <r>
    <n v="229"/>
    <s v="L.A. Care Health Plan"/>
    <x v="0"/>
    <x v="0"/>
    <x v="2"/>
    <n v="0"/>
    <n v="225"/>
    <n v="7500"/>
    <n v="0.03"/>
    <d v="2026-03-13T00:00:00"/>
    <d v="2026-03-01T00:00:00"/>
    <s v="Day"/>
    <s v="Mar 2026"/>
    <s v="Mar 13"/>
    <x v="3"/>
    <x v="2"/>
    <s v="2 - 100-499"/>
    <n v="0"/>
    <n v="1"/>
    <n v="1"/>
    <n v="0"/>
    <s v="News media"/>
    <s v="beckerspayer.com"/>
    <s v="https://www.beckerspayer.com/payer/medicaid/california-payer-laying-off-3-of-workforce-amid-medicaid-cuts/"/>
  </r>
  <r>
    <n v="230"/>
    <s v="LAHSA"/>
    <x v="2"/>
    <x v="0"/>
    <x v="0"/>
    <n v="0"/>
    <n v="284"/>
    <n v="600"/>
    <n v="0.47299999999999998"/>
    <d v="2026-04-21T00:00:00"/>
    <d v="2026-04-01T00:00:00"/>
    <s v="Day"/>
    <s v="Apr 2026"/>
    <s v="Apr 21"/>
    <x v="1"/>
    <x v="1"/>
    <s v="2 - 100-499"/>
    <n v="0"/>
    <n v="1"/>
    <n v="1"/>
    <n v="0"/>
    <s v="News media"/>
    <s v="abc7.com"/>
    <s v="https://abc7.com/post/lahsa-announces-plans-lay-off-300-employees-amid-shift-funding/18935005/"/>
  </r>
  <r>
    <n v="231"/>
    <s v="LAUSD (Los Angeles Unified School District)"/>
    <x v="12"/>
    <x v="0"/>
    <x v="2"/>
    <n v="0"/>
    <n v="657"/>
    <n v="60000"/>
    <n v="1.0999999999999999E-2"/>
    <d v="2026-05-21T00:00:00"/>
    <d v="2026-05-01T00:00:00"/>
    <s v="Day"/>
    <s v="May 2026"/>
    <s v="May 21"/>
    <x v="4"/>
    <x v="2"/>
    <s v="3 - 500-999"/>
    <n v="0"/>
    <n v="1"/>
    <n v="1"/>
    <n v="0"/>
    <s v="News media"/>
    <s v="laist.com"/>
    <s v="https://laist.com/brief/news/education/lausd-reduction-in-force-vote-may-2026-budget-preview"/>
  </r>
  <r>
    <n v="232"/>
    <s v="LIV Golf"/>
    <x v="8"/>
    <x v="0"/>
    <x v="0"/>
    <n v="0"/>
    <n v="200"/>
    <n v="300"/>
    <n v="0.66700000000000004"/>
    <d v="2026-08-26T00:00:00"/>
    <d v="2026-08-01T00:00:00"/>
    <s v="Day"/>
    <s v="Aug 2026"/>
    <s v="Aug 26"/>
    <x v="1"/>
    <x v="1"/>
    <s v="2 - 100-499"/>
    <n v="0"/>
    <n v="1"/>
    <n v="1"/>
    <n v="0"/>
    <s v="News media"/>
    <s v="washingtontimes.com"/>
    <s v="https://www.washingtontimes.com/news/2026/aug/26/liv-golf-begins-laying-employees-downsizing-restructure-without-saudi/"/>
  </r>
  <r>
    <n v="233"/>
    <s v="LeeMAH Electronics"/>
    <x v="5"/>
    <x v="0"/>
    <x v="0"/>
    <n v="0"/>
    <n v="212"/>
    <n v="500"/>
    <n v="0.42399999999999999"/>
    <d v="2026-07-07T00:00:00"/>
    <d v="2026-07-01T00:00:00"/>
    <s v="Day"/>
    <s v="Jul 2026"/>
    <s v="Jul 7"/>
    <x v="1"/>
    <x v="1"/>
    <s v="2 - 100-499"/>
    <n v="0"/>
    <n v="1"/>
    <n v="1"/>
    <n v="0"/>
    <s v="Government / WARN filing"/>
    <s v="californiawarn.com"/>
    <s v="https://californiawarn.com/companies/leemah-electronics"/>
  </r>
  <r>
    <n v="234"/>
    <s v="Legal &amp; General"/>
    <x v="3"/>
    <x v="0"/>
    <x v="0"/>
    <n v="0"/>
    <n v="1000"/>
    <n v="10500"/>
    <n v="9.5000000000000001E-2"/>
    <d v="2026-09-23T00:00:00"/>
    <d v="2026-09-01T00:00:00"/>
    <s v="Day"/>
    <s v="Sep 2026"/>
    <s v="Sep 23"/>
    <x v="0"/>
    <x v="0"/>
    <s v="4 - 1K-4.9K"/>
    <n v="0"/>
    <n v="1"/>
    <n v="1"/>
    <n v="0"/>
    <s v="News media"/>
    <s v="uk.finance.yahoo.com"/>
    <s v="https://uk.finance.yahoo.com/news/legal-general-cut-around-1-121223777.html"/>
  </r>
  <r>
    <n v="235"/>
    <s v="Leidos"/>
    <x v="1"/>
    <x v="1"/>
    <x v="2"/>
    <n v="0"/>
    <n v="305"/>
    <n v="47000"/>
    <n v="6.0000000000000001E-3"/>
    <d v="2026-07-13T00:00:00"/>
    <d v="2026-07-01T00:00:00"/>
    <s v="Day"/>
    <s v="Jul 2026"/>
    <s v="Jul 13"/>
    <x v="0"/>
    <x v="2"/>
    <s v="2 - 100-499"/>
    <n v="0"/>
    <n v="1"/>
    <n v="2"/>
    <n v="1"/>
    <s v="News media"/>
    <s v="washingtontechnology.com"/>
    <s v="https://www.washingtontechnology.com/companies/2026/07/leidos-layoff-notices-hit-305-people-non-customer-roles/414729/"/>
  </r>
  <r>
    <n v="236"/>
    <s v="Leidos"/>
    <x v="1"/>
    <x v="1"/>
    <x v="0"/>
    <n v="0"/>
    <n v="84"/>
    <n v="47000"/>
    <n v="2E-3"/>
    <d v="2026-09-28T00:00:00"/>
    <d v="2026-09-01T00:00:00"/>
    <s v="Day"/>
    <s v="Sep 2026"/>
    <s v="Sep 28"/>
    <x v="0"/>
    <x v="2"/>
    <s v="1 - &lt;100"/>
    <n v="0"/>
    <n v="2"/>
    <n v="2"/>
    <n v="1"/>
    <s v="News media"/>
    <s v="patch.com"/>
    <s v="https://patch.com/virginia/ashburn/northern-virginia-tech-company-anticipates-major-layoffs-ashburn"/>
  </r>
  <r>
    <n v="237"/>
    <s v="Levi Strauss &amp; Co."/>
    <x v="7"/>
    <x v="0"/>
    <x v="0"/>
    <n v="0"/>
    <n v="303"/>
    <n v="19000"/>
    <n v="1.6E-2"/>
    <d v="2026-07-08T00:00:00"/>
    <d v="2026-07-01T00:00:00"/>
    <s v="Day"/>
    <s v="Jul 2026"/>
    <s v="Jul 8"/>
    <x v="0"/>
    <x v="2"/>
    <s v="2 - 100-499"/>
    <n v="0"/>
    <n v="1"/>
    <n v="1"/>
    <n v="0"/>
    <s v="News media"/>
    <s v="supplychaindive.com"/>
    <s v="https://www.supplychaindive.com/news/levi-strauss-to-close-kentucky-warehouse-after-yearlong-delay/824451/"/>
  </r>
  <r>
    <n v="238"/>
    <s v="Lightricks"/>
    <x v="1"/>
    <x v="1"/>
    <x v="1"/>
    <n v="1"/>
    <n v="75"/>
    <n v="440"/>
    <n v="0.17"/>
    <d v="2026-05-27T00:00:00"/>
    <d v="2026-05-01T00:00:00"/>
    <s v="Day"/>
    <s v="May 2026"/>
    <s v="May 27"/>
    <x v="1"/>
    <x v="3"/>
    <s v="1 - &lt;100"/>
    <n v="0"/>
    <n v="1"/>
    <n v="1"/>
    <n v="0"/>
    <s v="News media"/>
    <s v="calcalistech.com"/>
    <s v="https://www.calcalistech.com/ctechnews/article/r1dgjt5gmg"/>
  </r>
  <r>
    <n v="239"/>
    <s v="LinkedIn"/>
    <x v="1"/>
    <x v="1"/>
    <x v="1"/>
    <n v="1"/>
    <n v="875"/>
    <n v="17500"/>
    <n v="0.05"/>
    <d v="2026-05-13T00:00:00"/>
    <d v="2026-05-01T00:00:00"/>
    <s v="Day"/>
    <s v="May 2026"/>
    <s v="May 13"/>
    <x v="0"/>
    <x v="0"/>
    <s v="3 - 500-999"/>
    <n v="0"/>
    <n v="1"/>
    <n v="1"/>
    <n v="0"/>
    <s v="News media"/>
    <s v="reuters.com"/>
    <s v="https://www.reuters.com/business/world-at-work/linkedin-is-planning-lay-off-5-staff-latest-tech-sector-cuts-source-says-2026-05-13/"/>
  </r>
  <r>
    <n v="240"/>
    <s v="Los Angeles Lakers"/>
    <x v="8"/>
    <x v="0"/>
    <x v="2"/>
    <n v="0"/>
    <n v="20"/>
    <n v="300"/>
    <n v="6.7000000000000004E-2"/>
    <d v="2026-05-27T00:00:00"/>
    <d v="2026-05-01T00:00:00"/>
    <s v="Day"/>
    <s v="May 2026"/>
    <s v="May 27"/>
    <x v="1"/>
    <x v="0"/>
    <s v="1 - &lt;100"/>
    <n v="0"/>
    <n v="1"/>
    <n v="1"/>
    <n v="0"/>
    <s v="News media"/>
    <s v="espn.com"/>
    <s v="https://www.espn.com/nba/story/_/id/48894046/lakers-lay-more-dozen-business-side-employees-amid-reorganization"/>
  </r>
  <r>
    <n v="241"/>
    <s v="Louisiana-Pacific"/>
    <x v="5"/>
    <x v="0"/>
    <x v="3"/>
    <n v="0"/>
    <n v="150"/>
    <n v="4300"/>
    <n v="3.5000000000000003E-2"/>
    <d v="2026-09-01T00:00:00"/>
    <d v="2026-09-01T00:00:00"/>
    <s v="Day"/>
    <s v="Sep 2026"/>
    <s v="Sep 1"/>
    <x v="3"/>
    <x v="2"/>
    <s v="2 - 100-499"/>
    <n v="0"/>
    <n v="1"/>
    <n v="1"/>
    <n v="0"/>
    <s v="News media"/>
    <s v="ktre.com"/>
    <s v="https://www.ktre.com/2026/09/07/louisiana-pacific-lay-off-150-workers-jasper-plant-next-month/"/>
  </r>
  <r>
    <n v="242"/>
    <s v="Lucid"/>
    <x v="4"/>
    <x v="0"/>
    <x v="2"/>
    <n v="0"/>
    <n v="319"/>
    <n v="6800"/>
    <n v="4.7E-2"/>
    <d v="2026-04-21T00:00:00"/>
    <d v="2026-04-01T00:00:00"/>
    <s v="Day"/>
    <s v="Apr 2026"/>
    <s v="Apr 21"/>
    <x v="3"/>
    <x v="2"/>
    <s v="2 - 100-499"/>
    <n v="0"/>
    <n v="1"/>
    <n v="2"/>
    <n v="1"/>
    <s v="News media"/>
    <s v="kron4.com"/>
    <s v="https://www.kron4.com/news/technology-ai/hundreds-to-be-laid-off-from-bay-area-based-luxury-ev-maker/"/>
  </r>
  <r>
    <n v="243"/>
    <s v="Lucid"/>
    <x v="4"/>
    <x v="0"/>
    <x v="3"/>
    <n v="0"/>
    <n v="1500"/>
    <n v="9000"/>
    <n v="0.1669999999999999"/>
    <d v="2026-06-22T00:00:00"/>
    <d v="2026-06-01T00:00:00"/>
    <s v="Day"/>
    <s v="Jun 2026"/>
    <s v="Jun 22"/>
    <x v="3"/>
    <x v="3"/>
    <s v="4 - 1K-4.9K"/>
    <n v="0"/>
    <n v="2"/>
    <n v="2"/>
    <n v="1"/>
    <s v="News media"/>
    <s v="cnbc.com"/>
    <s v="https://www.cnbc.com/2026/06/22/lucid-layoffs-evs.html"/>
  </r>
  <r>
    <n v="244"/>
    <s v="MARA Holdings"/>
    <x v="9"/>
    <x v="1"/>
    <x v="1"/>
    <n v="1"/>
    <n v="40"/>
    <n v="266"/>
    <n v="0.15"/>
    <d v="2026-04-02T00:00:00"/>
    <d v="2026-04-01T00:00:00"/>
    <s v="Day"/>
    <s v="Apr 2026"/>
    <s v="Apr 2"/>
    <x v="1"/>
    <x v="3"/>
    <s v="1 - &lt;100"/>
    <n v="0"/>
    <n v="1"/>
    <n v="1"/>
    <n v="0"/>
    <s v="News media"/>
    <s v="unchainedcrypto.com"/>
    <s v="https://unchainedcrypto.com/mara-holdings-cuts-15-of-staff-as-bitcoin-miners-sell-reserves-and-retrench/"/>
  </r>
  <r>
    <n v="245"/>
    <s v="Macy's"/>
    <x v="7"/>
    <x v="0"/>
    <x v="0"/>
    <n v="0"/>
    <n v="1050"/>
    <n v="90000"/>
    <n v="1.2E-2"/>
    <d v="2026-01-14T00:00:00"/>
    <d v="2026-01-01T00:00:00"/>
    <s v="Day"/>
    <s v="Jan 2026"/>
    <s v="Jan 14"/>
    <x v="4"/>
    <x v="2"/>
    <s v="4 - 1K-4.9K"/>
    <n v="0"/>
    <n v="1"/>
    <n v="1"/>
    <n v="0"/>
    <s v="News media"/>
    <s v="retaildive.com"/>
    <s v="https://www.retaildive.com/news/macys-layoffs-cheshire-connecticut-fulfillment-center/809837/"/>
  </r>
  <r>
    <n v="246"/>
    <s v="Magic Leap"/>
    <x v="1"/>
    <x v="1"/>
    <x v="0"/>
    <n v="0"/>
    <n v="193"/>
    <n v="600"/>
    <n v="0.32200000000000001"/>
    <d v="2026-07-20T00:00:00"/>
    <d v="2026-07-01T00:00:00"/>
    <s v="Day"/>
    <s v="Jul 2026"/>
    <s v="Jul 20"/>
    <x v="1"/>
    <x v="1"/>
    <s v="2 - 100-499"/>
    <n v="0"/>
    <n v="1"/>
    <n v="1"/>
    <n v="0"/>
    <s v="News media"/>
    <s v="roadtovr.com"/>
    <s v="https://roadtovr.com/magic-leap-lay-off-2026-waveguide-pivot/"/>
  </r>
  <r>
    <n v="247"/>
    <s v="MaineHealth"/>
    <x v="0"/>
    <x v="0"/>
    <x v="0"/>
    <n v="0"/>
    <n v="83"/>
    <n v="22000"/>
    <n v="4.0000000000000001E-3"/>
    <d v="2026-07-28T00:00:00"/>
    <d v="2026-07-01T00:00:00"/>
    <s v="Day"/>
    <s v="Jul 2026"/>
    <s v="Jul 28"/>
    <x v="0"/>
    <x v="2"/>
    <s v="1 - &lt;100"/>
    <n v="0"/>
    <n v="1"/>
    <n v="1"/>
    <n v="0"/>
    <s v="News media"/>
    <s v="pressherald.com"/>
    <s v="https://www.pressherald.com/2026/07/28/mainehealth-to-cut-83-positions-in-it-analytics/"/>
  </r>
  <r>
    <n v="248"/>
    <s v="Manhattan Associates"/>
    <x v="1"/>
    <x v="1"/>
    <x v="0"/>
    <n v="0"/>
    <n v="260"/>
    <n v="4370"/>
    <n v="5.8999999999999997E-2"/>
    <d v="2026-06-01T00:00:00"/>
    <d v="2026-06-01T00:00:00"/>
    <s v="Day"/>
    <s v="Jun 2026"/>
    <s v="Jun 1"/>
    <x v="3"/>
    <x v="0"/>
    <s v="2 - 100-499"/>
    <n v="0"/>
    <n v="1"/>
    <n v="1"/>
    <n v="0"/>
    <s v="Company filing (SEC)"/>
    <s v="sec.gov"/>
    <s v="https://www.sec.gov/Archives/edgar/data/0001056696/000119312526251382/manh-20260601.htm"/>
  </r>
  <r>
    <n v="249"/>
    <s v="Marc's"/>
    <x v="7"/>
    <x v="0"/>
    <x v="0"/>
    <n v="0"/>
    <n v="55"/>
    <n v="3000"/>
    <n v="1.7999999999999999E-2"/>
    <d v="2026-09-10T00:00:00"/>
    <d v="2026-09-01T00:00:00"/>
    <s v="Day"/>
    <s v="Sep 2026"/>
    <s v="Sep 10"/>
    <x v="3"/>
    <x v="2"/>
    <s v="1 - &lt;100"/>
    <n v="0"/>
    <n v="1"/>
    <n v="1"/>
    <n v="0"/>
    <s v="News media"/>
    <s v="cleveland19.com"/>
    <s v="https://www.cleveland19.com/2026/09/11/marcs-close-parma-facility-cut-55-jobs/"/>
  </r>
  <r>
    <n v="250"/>
    <s v="Mars Petcare"/>
    <x v="6"/>
    <x v="0"/>
    <x v="0"/>
    <n v="0"/>
    <n v="150"/>
    <n v="170000"/>
    <n v="1E-3"/>
    <d v="2026-04-20T00:00:00"/>
    <d v="2026-04-01T00:00:00"/>
    <s v="Day"/>
    <s v="Apr 2026"/>
    <s v="Apr 20"/>
    <x v="2"/>
    <x v="2"/>
    <s v="2 - 100-499"/>
    <n v="0"/>
    <n v="1"/>
    <n v="1"/>
    <n v="0"/>
    <s v="News media"/>
    <s v="wizs.com"/>
    <s v="https://wizs.com/mars-petcare-plant-in-henderson-to-close-in-july/"/>
  </r>
  <r>
    <n v="251"/>
    <s v="MasterBrand Cabinets"/>
    <x v="5"/>
    <x v="0"/>
    <x v="4"/>
    <n v="0"/>
    <n v="390"/>
    <n v="13000"/>
    <n v="0.03"/>
    <d v="2026-09-30T00:00:00"/>
    <d v="2026-09-01T00:00:00"/>
    <s v="Day"/>
    <s v="Sep 2026"/>
    <s v="Sep 30"/>
    <x v="0"/>
    <x v="2"/>
    <s v="2 - 100-499"/>
    <n v="0"/>
    <n v="1"/>
    <n v="1"/>
    <n v="0"/>
    <s v="News media"/>
    <s v="neusenews.com"/>
    <s v="https://www.neusenews.com/index/2026/9/30/masterbrand-changes-to-affect-390-workers-at-kinston-facility"/>
  </r>
  <r>
    <n v="252"/>
    <s v="Mastercard"/>
    <x v="3"/>
    <x v="0"/>
    <x v="2"/>
    <n v="0"/>
    <n v="1400"/>
    <n v="33000"/>
    <n v="4.2000000000000003E-2"/>
    <d v="2026-01-01T00:00:00"/>
    <d v="2026-01-01T00:00:00"/>
    <s v="Month"/>
    <s v="Jan 2026"/>
    <s v="Jan 2026"/>
    <x v="0"/>
    <x v="2"/>
    <s v="4 - 1K-4.9K"/>
    <n v="0"/>
    <n v="1"/>
    <n v="1"/>
    <n v="0"/>
    <s v="News media"/>
    <s v="finance.yahoo.com"/>
    <s v="https://finance.yahoo.com/news/layoffs-surge-2026-10-major-174540901.html"/>
  </r>
  <r>
    <n v="253"/>
    <s v="Maverick Gaming"/>
    <x v="8"/>
    <x v="0"/>
    <x v="0"/>
    <n v="0"/>
    <n v="238"/>
    <n v="3500"/>
    <n v="6.8000000000000005E-2"/>
    <d v="2026-09-01T00:00:00"/>
    <d v="2026-09-01T00:00:00"/>
    <s v="Day"/>
    <s v="Sep 2026"/>
    <s v="Sep 1"/>
    <x v="3"/>
    <x v="0"/>
    <s v="2 - 100-499"/>
    <n v="0"/>
    <n v="1"/>
    <n v="2"/>
    <n v="1"/>
    <s v="News media"/>
    <s v="casino.org"/>
    <s v="https://www.casino.org/news/washington-states-riverside-great-american-casinos-to-close-as-maverick-gaming-cuts-238-more-jobs/"/>
  </r>
  <r>
    <n v="254"/>
    <s v="Maverick Gaming"/>
    <x v="8"/>
    <x v="0"/>
    <x v="0"/>
    <n v="0"/>
    <n v="850"/>
    <n v="3500"/>
    <n v="0.24299999999999999"/>
    <d v="2026-09-28T00:00:00"/>
    <d v="2026-09-01T00:00:00"/>
    <s v="Day"/>
    <s v="Sep 2026"/>
    <s v="Sep 28"/>
    <x v="3"/>
    <x v="3"/>
    <s v="3 - 500-999"/>
    <n v="0"/>
    <n v="2"/>
    <n v="2"/>
    <n v="1"/>
    <s v="News media"/>
    <s v="casino.org"/>
    <s v="https://www.casino.org/news/maverick-gamings-washington-casino-empire-keeps-shrinking-as-eight-more-face-closure/"/>
  </r>
  <r>
    <n v="255"/>
    <s v="McClatchy"/>
    <x v="8"/>
    <x v="0"/>
    <x v="2"/>
    <n v="0"/>
    <n v="90"/>
    <n v="2200"/>
    <n v="4.0999999999999898E-2"/>
    <d v="2026-09-10T00:00:00"/>
    <d v="2026-09-01T00:00:00"/>
    <s v="Day"/>
    <s v="Sep 2026"/>
    <s v="Sep 10"/>
    <x v="3"/>
    <x v="2"/>
    <s v="1 - &lt;100"/>
    <n v="0"/>
    <n v="1"/>
    <n v="1"/>
    <n v="0"/>
    <s v="News media"/>
    <s v="poynter.org"/>
    <s v="https://www.poynter.org/business-work/2026/mcclatchy-media-newspapers-layoffs/"/>
  </r>
  <r>
    <n v="256"/>
    <s v="MedImpact Healthcare"/>
    <x v="0"/>
    <x v="0"/>
    <x v="4"/>
    <n v="0"/>
    <n v="125"/>
    <n v="2000"/>
    <n v="6.2E-2"/>
    <d v="2026-03-04T00:00:00"/>
    <d v="2026-03-01T00:00:00"/>
    <s v="Day"/>
    <s v="Mar 2026"/>
    <s v="Mar 4"/>
    <x v="3"/>
    <x v="0"/>
    <s v="2 - 100-499"/>
    <n v="0"/>
    <n v="1"/>
    <n v="1"/>
    <n v="0"/>
    <s v="News media"/>
    <s v="whatnow.com"/>
    <s v="https://whatnow.com/san-diego/local-news/37-year-old-pharmacy-benefits-manager-cuts-125-jobs-in-san-diego/"/>
  </r>
  <r>
    <n v="257"/>
    <s v="Mercedes-Benz R and D North America"/>
    <x v="4"/>
    <x v="0"/>
    <x v="2"/>
    <n v="0"/>
    <n v="72"/>
    <n v="3000"/>
    <n v="2.4E-2"/>
    <d v="2026-05-07T00:00:00"/>
    <d v="2026-05-01T00:00:00"/>
    <s v="Day"/>
    <s v="May 2026"/>
    <s v="May 7"/>
    <x v="3"/>
    <x v="2"/>
    <s v="1 - &lt;100"/>
    <n v="0"/>
    <n v="1"/>
    <n v="1"/>
    <n v="0"/>
    <s v="Government / WARN filing"/>
    <s v="warntracker.com"/>
    <s v="https://www.warntracker.com/company/mercedes-benz-research-development-north-america"/>
  </r>
  <r>
    <n v="258"/>
    <s v="Mercer International"/>
    <x v="5"/>
    <x v="0"/>
    <x v="0"/>
    <n v="0"/>
    <n v="350"/>
    <n v="3545"/>
    <n v="9.9000000000000005E-2"/>
    <d v="2026-08-06T00:00:00"/>
    <d v="2026-08-01T00:00:00"/>
    <s v="Day"/>
    <s v="Aug 2026"/>
    <s v="Aug 6"/>
    <x v="3"/>
    <x v="0"/>
    <s v="2 - 100-499"/>
    <n v="0"/>
    <n v="1"/>
    <n v="1"/>
    <n v="0"/>
    <s v="Company filing (SEC)"/>
    <s v="sec.gov"/>
    <s v="https://www.sec.gov/Archives/edgar/data/1333274/000119312526338270/merc-ex99_1.htm"/>
  </r>
  <r>
    <n v="259"/>
    <s v="Merck"/>
    <x v="0"/>
    <x v="0"/>
    <x v="3"/>
    <n v="0"/>
    <n v="147"/>
    <n v="67000"/>
    <n v="2E-3"/>
    <d v="2026-02-27T00:00:00"/>
    <d v="2026-02-01T00:00:00"/>
    <s v="Day"/>
    <s v="Feb 2026"/>
    <s v="Feb 27"/>
    <x v="4"/>
    <x v="2"/>
    <s v="2 - 100-499"/>
    <n v="0"/>
    <n v="1"/>
    <n v="2"/>
    <n v="1"/>
    <s v="News media"/>
    <s v="fiercebiotech.com"/>
    <s v="https://www.fiercebiotech.com/biotech/fierce-biotech-layoff-tracker-2026"/>
  </r>
  <r>
    <n v="260"/>
    <s v="Merck"/>
    <x v="0"/>
    <x v="0"/>
    <x v="2"/>
    <n v="0"/>
    <n v="54"/>
    <n v="75000"/>
    <n v="1E-3"/>
    <d v="2026-09-08T00:00:00"/>
    <d v="2026-09-01T00:00:00"/>
    <s v="Day"/>
    <s v="Sep 2026"/>
    <s v="Sep 8"/>
    <x v="4"/>
    <x v="2"/>
    <s v="1 - &lt;100"/>
    <n v="0"/>
    <n v="2"/>
    <n v="2"/>
    <n v="1"/>
    <s v="News media"/>
    <s v="njbiz.com"/>
    <s v="https://njbiz.com/merck-54-jobs-rahway-nj-layoffs/"/>
  </r>
  <r>
    <n v="261"/>
    <s v="Meta"/>
    <x v="1"/>
    <x v="1"/>
    <x v="1"/>
    <n v="1"/>
    <n v="16000"/>
    <n v="79000"/>
    <n v="0.20300000000000001"/>
    <d v="2026-03-16T00:00:00"/>
    <d v="2026-03-01T00:00:00"/>
    <s v="Day"/>
    <s v="Mar 2026"/>
    <s v="Mar 16"/>
    <x v="4"/>
    <x v="3"/>
    <s v="5 - 5K+"/>
    <n v="0"/>
    <n v="1"/>
    <n v="1"/>
    <n v="0"/>
    <s v="News media"/>
    <s v="cnbc.com"/>
    <s v="https://www.cnbc.com/2026/03/16/meta-ai-costs-mass-layoffs-20percent-up-premarket.html"/>
  </r>
  <r>
    <n v="262"/>
    <s v="Mews"/>
    <x v="1"/>
    <x v="1"/>
    <x v="1"/>
    <n v="1"/>
    <n v="170"/>
    <n v="1350"/>
    <n v="0.126"/>
    <d v="2026-07-07T00:00:00"/>
    <d v="2026-07-01T00:00:00"/>
    <s v="Day"/>
    <s v="Jul 2026"/>
    <s v="Jul 7"/>
    <x v="3"/>
    <x v="3"/>
    <s v="2 - 100-499"/>
    <n v="0"/>
    <n v="1"/>
    <n v="1"/>
    <n v="0"/>
    <s v="News media"/>
    <s v="skift.com"/>
    <s v="https://skift.com/2026/07/07/mews-layoffs-restructuring-ai/"/>
  </r>
  <r>
    <n v="263"/>
    <s v="Microsoft"/>
    <x v="1"/>
    <x v="1"/>
    <x v="1"/>
    <n v="1"/>
    <n v="8750"/>
    <n v="125000"/>
    <n v="7.0000000000000007E-2"/>
    <d v="2026-04-23T00:00:00"/>
    <d v="2026-04-01T00:00:00"/>
    <s v="Day"/>
    <s v="Apr 2026"/>
    <s v="Apr 23"/>
    <x v="2"/>
    <x v="0"/>
    <s v="5 - 5K+"/>
    <n v="0"/>
    <n v="1"/>
    <n v="3"/>
    <n v="1"/>
    <s v="News media"/>
    <s v="cnbc.com"/>
    <s v="https://www.cnbc.com/2026/04/23/microsoft-plans-first-voluntary-retirement-program-for-us-employees.html"/>
  </r>
  <r>
    <n v="264"/>
    <s v="Microsoft"/>
    <x v="1"/>
    <x v="1"/>
    <x v="2"/>
    <n v="0"/>
    <n v="4664"/>
    <n v="228000"/>
    <n v="0.02"/>
    <d v="2026-07-06T00:00:00"/>
    <d v="2026-07-01T00:00:00"/>
    <s v="Day"/>
    <s v="Jul 2026"/>
    <s v="Jul 6"/>
    <x v="2"/>
    <x v="2"/>
    <s v="4 - 1K-4.9K"/>
    <n v="0"/>
    <n v="2"/>
    <n v="3"/>
    <n v="1"/>
    <s v="News media"/>
    <s v="cnbc.com"/>
    <s v="https://www.cnbc.com/2026/07/06/microsoft-cuts-2point1percent-of-employees-as-xbox-unit-plans-to-spin-studios.html"/>
  </r>
  <r>
    <n v="265"/>
    <s v="Microsoft"/>
    <x v="1"/>
    <x v="1"/>
    <x v="0"/>
    <n v="0"/>
    <n v="268"/>
    <n v="228000"/>
    <n v="1E-3"/>
    <d v="2026-09-22T00:00:00"/>
    <d v="2026-09-01T00:00:00"/>
    <s v="Day"/>
    <s v="Sep 2026"/>
    <s v="Sep 22"/>
    <x v="2"/>
    <x v="2"/>
    <s v="2 - 100-499"/>
    <n v="0"/>
    <n v="3"/>
    <n v="3"/>
    <n v="1"/>
    <s v="News media"/>
    <s v="videogameschronicle.com"/>
    <s v="https://www.videogameschronicle.com/news/xbox-officially-announces-more-layoffs-and-widespread-changes-to-its-entire-studio-structure/"/>
  </r>
  <r>
    <n v="266"/>
    <s v="Minute Media"/>
    <x v="8"/>
    <x v="0"/>
    <x v="1"/>
    <n v="1"/>
    <n v="60"/>
    <n v="500"/>
    <n v="0.12"/>
    <d v="2026-05-28T00:00:00"/>
    <d v="2026-05-01T00:00:00"/>
    <s v="Day"/>
    <s v="May 2026"/>
    <s v="May 28"/>
    <x v="1"/>
    <x v="3"/>
    <s v="1 - &lt;100"/>
    <n v="0"/>
    <n v="1"/>
    <n v="1"/>
    <n v="0"/>
    <s v="News media"/>
    <s v="calcalistech.com"/>
    <s v="https://www.calcalistech.com/ctechnews/article/kk215pdq7"/>
  </r>
  <r>
    <n v="267"/>
    <s v="Mission Foods"/>
    <x v="6"/>
    <x v="0"/>
    <x v="0"/>
    <n v="0"/>
    <n v="90"/>
    <n v="4000"/>
    <n v="2.1999999999999999E-2"/>
    <d v="2026-08-18T00:00:00"/>
    <d v="2026-08-01T00:00:00"/>
    <s v="Day"/>
    <s v="Aug 2026"/>
    <s v="Aug 18"/>
    <x v="3"/>
    <x v="2"/>
    <s v="1 - &lt;100"/>
    <n v="0"/>
    <n v="1"/>
    <n v="1"/>
    <n v="0"/>
    <s v="News media"/>
    <s v="krdo.com"/>
    <s v="https://krdo.com/news/2026/08/18/mission-foods-closes-pueblo-tortilla-plant-laying-off-90-workers/"/>
  </r>
  <r>
    <n v="268"/>
    <s v="Molina Healthcare"/>
    <x v="0"/>
    <x v="0"/>
    <x v="0"/>
    <n v="0"/>
    <n v="156"/>
    <n v="17000"/>
    <n v="8.9999999999999993E-3"/>
    <d v="2026-04-05T00:00:00"/>
    <d v="2026-04-01T00:00:00"/>
    <s v="Day"/>
    <s v="Apr 2026"/>
    <s v="Apr 5"/>
    <x v="0"/>
    <x v="2"/>
    <s v="2 - 100-499"/>
    <n v="0"/>
    <n v="1"/>
    <n v="1"/>
    <n v="0"/>
    <s v="News media"/>
    <s v="labusinessjournal.com"/>
    <s v="https://labusinessjournal.com/healthcare/long-beach-based-molina-healthcare-lay-nearly-170/"/>
  </r>
  <r>
    <n v="269"/>
    <s v="Montrose Forest Products (Neiman)"/>
    <x v="5"/>
    <x v="0"/>
    <x v="3"/>
    <n v="0"/>
    <n v="90"/>
    <n v="450"/>
    <n v="0.2"/>
    <d v="2026-09-08T00:00:00"/>
    <d v="2026-09-01T00:00:00"/>
    <s v="Day"/>
    <s v="Sep 2026"/>
    <s v="Sep 8"/>
    <x v="1"/>
    <x v="3"/>
    <s v="1 - &lt;100"/>
    <n v="0"/>
    <n v="1"/>
    <n v="1"/>
    <n v="0"/>
    <s v="News media"/>
    <s v="timberharvesting.com"/>
    <s v="https://timberharvesting.com/neiman-closing-mill-in-western-colorado/"/>
  </r>
  <r>
    <n v="270"/>
    <s v="Morgan Stanley"/>
    <x v="3"/>
    <x v="0"/>
    <x v="2"/>
    <n v="0"/>
    <n v="2500"/>
    <n v="82000"/>
    <n v="0.03"/>
    <d v="2026-03-07T00:00:00"/>
    <d v="2026-03-01T00:00:00"/>
    <s v="Day"/>
    <s v="Mar 2026"/>
    <s v="Mar 7"/>
    <x v="4"/>
    <x v="2"/>
    <s v="4 - 1K-4.9K"/>
    <n v="0"/>
    <n v="1"/>
    <n v="1"/>
    <n v="0"/>
    <s v="News media"/>
    <s v="livenowfox.com"/>
    <s v="https://www.livenowfox.com/news/2026-layoffs-list-companies-cutting-jobs-year"/>
  </r>
  <r>
    <n v="271"/>
    <s v="Mountain Valley Golf Course"/>
    <x v="8"/>
    <x v="0"/>
    <x v="0"/>
    <n v="0"/>
    <n v="111"/>
    <n v="111"/>
    <n v="1"/>
    <d v="2026-09-02T00:00:00"/>
    <d v="2026-09-01T00:00:00"/>
    <s v="Day"/>
    <s v="Sep 2026"/>
    <s v="Sep 2"/>
    <x v="1"/>
    <x v="4"/>
    <s v="2 - 100-499"/>
    <n v="1"/>
    <n v="1"/>
    <n v="1"/>
    <n v="0"/>
    <s v="News media"/>
    <s v="shensentinel.com"/>
    <s v="https://shensentinel.com/news/mountain-valley-closure-displaces-111-workers-warn-notice-says/"/>
  </r>
  <r>
    <n v="272"/>
    <s v="MultiCare Health System"/>
    <x v="0"/>
    <x v="0"/>
    <x v="2"/>
    <n v="0"/>
    <n v="138"/>
    <n v="28000"/>
    <n v="5.0000000000000001E-3"/>
    <d v="2026-09-10T00:00:00"/>
    <d v="2026-09-01T00:00:00"/>
    <s v="Day"/>
    <s v="Sep 2026"/>
    <s v="Sep 10"/>
    <x v="0"/>
    <x v="2"/>
    <s v="2 - 100-499"/>
    <n v="0"/>
    <n v="1"/>
    <n v="1"/>
    <n v="0"/>
    <s v="News media"/>
    <s v="kiro7.com"/>
    <s v="https://www.kiro7.com/news/local/multicare-health-system-plans-layoff-138-employees-close-6-locations/FEY7MP4UD5DM5HWM3SM6GHL7PQ/"/>
  </r>
  <r>
    <n v="273"/>
    <s v="MyHeritage"/>
    <x v="1"/>
    <x v="1"/>
    <x v="0"/>
    <n v="0"/>
    <n v="75"/>
    <n v="500"/>
    <n v="0.15"/>
    <d v="2026-07-08T00:00:00"/>
    <d v="2026-07-01T00:00:00"/>
    <s v="Day"/>
    <s v="Jul 2026"/>
    <s v="Jul 8"/>
    <x v="1"/>
    <x v="3"/>
    <s v="1 - &lt;100"/>
    <n v="0"/>
    <n v="1"/>
    <n v="1"/>
    <n v="0"/>
    <s v="News media"/>
    <s v="en.globes.co.il"/>
    <s v="https://en.globes.co.il/en/article-myheritage-to-lay-off-15-of-workforce-1001548761"/>
  </r>
  <r>
    <n v="274"/>
    <s v="NBA"/>
    <x v="8"/>
    <x v="0"/>
    <x v="0"/>
    <n v="0"/>
    <n v="24"/>
    <n v="4000"/>
    <n v="6.0000000000000001E-3"/>
    <d v="2026-07-02T00:00:00"/>
    <d v="2026-07-01T00:00:00"/>
    <s v="Day"/>
    <s v="Jul 2026"/>
    <s v="Jul 2"/>
    <x v="3"/>
    <x v="2"/>
    <s v="1 - &lt;100"/>
    <n v="0"/>
    <n v="1"/>
    <n v="1"/>
    <n v="0"/>
    <s v="News media"/>
    <s v="awfulannouncing.com"/>
    <s v="https://awfulannouncing.com/nba/institutes-layoffs-ahead-local-media-restructuring.html"/>
  </r>
  <r>
    <n v="275"/>
    <s v="Nationwide Building Society"/>
    <x v="3"/>
    <x v="0"/>
    <x v="4"/>
    <n v="0"/>
    <n v="600"/>
    <n v="25000"/>
    <n v="2.4E-2"/>
    <d v="2026-06-29T00:00:00"/>
    <d v="2026-06-01T00:00:00"/>
    <s v="Day"/>
    <s v="Jun 2026"/>
    <s v="Jun 29"/>
    <x v="0"/>
    <x v="2"/>
    <s v="3 - 500-999"/>
    <n v="0"/>
    <n v="1"/>
    <n v="1"/>
    <n v="0"/>
    <s v="News media"/>
    <s v="theguardian.com"/>
    <s v="https://www.theguardian.com/business/2026/jun/29/nationwide-cut-600-jobs-first-redundancies-takeover-virgin-money"/>
  </r>
  <r>
    <n v="276"/>
    <s v="Nature's Bakery (Mars)"/>
    <x v="6"/>
    <x v="0"/>
    <x v="0"/>
    <n v="0"/>
    <n v="345"/>
    <n v="170000"/>
    <n v="2E-3"/>
    <d v="2026-07-07T00:00:00"/>
    <d v="2026-07-01T00:00:00"/>
    <s v="Day"/>
    <s v="Jul 2026"/>
    <s v="Jul 7"/>
    <x v="2"/>
    <x v="2"/>
    <s v="2 - 100-499"/>
    <n v="0"/>
    <n v="1"/>
    <n v="1"/>
    <n v="0"/>
    <s v="News media"/>
    <s v="supplychaindive.com"/>
    <s v="https://www.supplychaindive.com/news/mars-to-close-natures-bakery-plant-lay-off-345-workers/824855/"/>
  </r>
  <r>
    <n v="277"/>
    <s v="Nestlé"/>
    <x v="6"/>
    <x v="0"/>
    <x v="1"/>
    <n v="1"/>
    <n v="16000"/>
    <n v="270000"/>
    <n v="5.8999999999999997E-2"/>
    <d v="2026-02-27T00:00:00"/>
    <d v="2026-02-01T00:00:00"/>
    <s v="Day"/>
    <s v="Feb 2026"/>
    <s v="Feb 27"/>
    <x v="2"/>
    <x v="0"/>
    <s v="5 - 5K+"/>
    <n v="0"/>
    <n v="1"/>
    <n v="1"/>
    <n v="0"/>
    <s v="News media"/>
    <s v="grocerygazette.co.uk"/>
    <s v="https://www.grocerygazette.co.uk/2026/03/03/nestle-job-cuts-south-africa/"/>
  </r>
  <r>
    <n v="278"/>
    <s v="Netflix"/>
    <x v="8"/>
    <x v="0"/>
    <x v="0"/>
    <n v="0"/>
    <n v="59"/>
    <n v="16000"/>
    <n v="4.0000000000000001E-3"/>
    <d v="2026-08-13T00:00:00"/>
    <d v="2026-08-01T00:00:00"/>
    <s v="Day"/>
    <s v="Aug 2026"/>
    <s v="Aug 13"/>
    <x v="0"/>
    <x v="2"/>
    <s v="1 - &lt;100"/>
    <n v="0"/>
    <n v="1"/>
    <n v="1"/>
    <n v="0"/>
    <s v="Government / WARN filing"/>
    <s v="edd.ca.gov"/>
    <s v="https://edd.ca.gov/en/jobs_and_training/Layoff_Services_WARN"/>
  </r>
  <r>
    <n v="279"/>
    <s v="Nike"/>
    <x v="7"/>
    <x v="0"/>
    <x v="1"/>
    <n v="1"/>
    <n v="775"/>
    <n v="76000"/>
    <n v="0.01"/>
    <d v="2026-01-26T00:00:00"/>
    <d v="2026-01-01T00:00:00"/>
    <s v="Day"/>
    <s v="Jan 2026"/>
    <s v="Jan 26"/>
    <x v="4"/>
    <x v="2"/>
    <s v="3 - 500-999"/>
    <n v="0"/>
    <n v="1"/>
    <n v="2"/>
    <n v="1"/>
    <s v="News media"/>
    <s v="cnbc.com"/>
    <s v="https://www.cnbc.com/2026/01/26/nike-to-lay-off-775-employees-at-us-distribution-centers.html"/>
  </r>
  <r>
    <n v="280"/>
    <s v="Nike"/>
    <x v="7"/>
    <x v="0"/>
    <x v="0"/>
    <n v="0"/>
    <n v="1400"/>
    <n v="76000"/>
    <n v="1.7999999999999999E-2"/>
    <d v="2026-04-23T00:00:00"/>
    <d v="2026-04-01T00:00:00"/>
    <s v="Day"/>
    <s v="Apr 2026"/>
    <s v="Apr 23"/>
    <x v="4"/>
    <x v="2"/>
    <s v="4 - 1K-4.9K"/>
    <n v="0"/>
    <n v="2"/>
    <n v="2"/>
    <n v="1"/>
    <s v="News media"/>
    <s v="cnbc.com"/>
    <s v="https://www.cnbc.com/2026/04/23/nike-job-cuts-layoffs.html"/>
  </r>
  <r>
    <n v="281"/>
    <s v="Nippon Electric Glass"/>
    <x v="5"/>
    <x v="0"/>
    <x v="0"/>
    <n v="0"/>
    <n v="282"/>
    <n v="5578"/>
    <n v="5.0999999999999997E-2"/>
    <d v="2026-07-10T00:00:00"/>
    <d v="2026-07-01T00:00:00"/>
    <s v="Day"/>
    <s v="Jul 2026"/>
    <s v="Jul 10"/>
    <x v="3"/>
    <x v="0"/>
    <s v="2 - 100-499"/>
    <n v="0"/>
    <n v="1"/>
    <n v="1"/>
    <n v="0"/>
    <s v="News media"/>
    <s v="spectrumlocalnews.com"/>
    <s v="https://spectrumlocalnews.com/nc/charlotte/news/2026/07/10/nippon-electric-glass-set-to-lay-off-workers-in-n-c-"/>
  </r>
  <r>
    <n v="282"/>
    <s v="Nissan"/>
    <x v="4"/>
    <x v="0"/>
    <x v="3"/>
    <n v="0"/>
    <n v="900"/>
    <n v="9300"/>
    <n v="9.6999999999999906E-2"/>
    <d v="2026-05-05T00:00:00"/>
    <d v="2026-05-01T00:00:00"/>
    <s v="Day"/>
    <s v="May 2026"/>
    <s v="May 5"/>
    <x v="3"/>
    <x v="0"/>
    <s v="3 - 500-999"/>
    <n v="0"/>
    <n v="1"/>
    <n v="1"/>
    <n v="0"/>
    <s v="News media"/>
    <s v="autonews.com"/>
    <s v="https://www.autonews.com/nissan/ane-nissan-europe-job-cuts-0505/"/>
  </r>
  <r>
    <n v="283"/>
    <s v="Nokia"/>
    <x v="10"/>
    <x v="1"/>
    <x v="0"/>
    <n v="0"/>
    <n v="14000"/>
    <n v="74100"/>
    <n v="0.18899999999999989"/>
    <d v="2026-03-27T00:00:00"/>
    <d v="2026-03-01T00:00:00"/>
    <s v="Day"/>
    <s v="Mar 2026"/>
    <s v="Mar 27"/>
    <x v="4"/>
    <x v="3"/>
    <s v="5 - 5K+"/>
    <n v="0"/>
    <n v="1"/>
    <n v="1"/>
    <n v="0"/>
    <s v="News media"/>
    <s v="indiaherald.com"/>
    <s v="https://www.indiaherald.com/Breaking/Read/994885580/-Nokia-Layoffs-Tech-Giant-Plans-to-Cut-Up-to-Jobs-"/>
  </r>
  <r>
    <n v="284"/>
    <s v="Nordstrom"/>
    <x v="7"/>
    <x v="0"/>
    <x v="0"/>
    <n v="0"/>
    <n v="101"/>
    <n v="55000"/>
    <n v="2E-3"/>
    <d v="2026-08-07T00:00:00"/>
    <d v="2026-08-01T00:00:00"/>
    <s v="Day"/>
    <s v="Aug 2026"/>
    <s v="Aug 7"/>
    <x v="4"/>
    <x v="2"/>
    <s v="2 - 100-499"/>
    <n v="0"/>
    <n v="1"/>
    <n v="1"/>
    <n v="0"/>
    <s v="News media"/>
    <s v="finance.yahoo.com"/>
    <s v="https://finance.yahoo.com/small-business/articles/125-old-mall-retail-anchor-181700285.html"/>
  </r>
  <r>
    <n v="285"/>
    <s v="Notions Marketing"/>
    <x v="6"/>
    <x v="0"/>
    <x v="0"/>
    <n v="0"/>
    <n v="200"/>
    <n v="600"/>
    <n v="0.33299999999999991"/>
    <d v="2026-07-14T00:00:00"/>
    <d v="2026-07-01T00:00:00"/>
    <s v="Day"/>
    <s v="Jul 2026"/>
    <s v="Jul 14"/>
    <x v="1"/>
    <x v="1"/>
    <s v="2 - 100-499"/>
    <n v="0"/>
    <n v="1"/>
    <n v="1"/>
    <n v="0"/>
    <s v="News media"/>
    <s v="woodtv.com"/>
    <s v="https://www.woodtv.com/news/grand-rapids/fire-at-grand-rapids-warehouse-prompts-mass-layoff-of-200-workers/"/>
  </r>
  <r>
    <n v="286"/>
    <s v="Novartis"/>
    <x v="0"/>
    <x v="0"/>
    <x v="3"/>
    <n v="0"/>
    <n v="322"/>
    <n v="76000"/>
    <n v="4.0000000000000001E-3"/>
    <d v="2026-07-07T00:00:00"/>
    <d v="2026-07-01T00:00:00"/>
    <s v="Day"/>
    <s v="Jul 2026"/>
    <s v="Jul 7"/>
    <x v="4"/>
    <x v="2"/>
    <s v="2 - 100-499"/>
    <n v="0"/>
    <n v="1"/>
    <n v="2"/>
    <n v="1"/>
    <s v="News media"/>
    <s v="fiercepharma.com"/>
    <s v="https://www.fiercepharma.com/pharma/novartis-dismisses-322-more-its-us-headquarters-nj"/>
  </r>
  <r>
    <n v="287"/>
    <s v="Novartis"/>
    <x v="0"/>
    <x v="0"/>
    <x v="0"/>
    <n v="0"/>
    <n v="130"/>
    <n v="76000"/>
    <n v="2E-3"/>
    <d v="2026-09-02T00:00:00"/>
    <d v="2026-09-01T00:00:00"/>
    <s v="Day"/>
    <s v="Sep 2026"/>
    <s v="Sep 2"/>
    <x v="4"/>
    <x v="2"/>
    <s v="2 - 100-499"/>
    <n v="0"/>
    <n v="2"/>
    <n v="2"/>
    <n v="1"/>
    <s v="News media"/>
    <s v="novartis.com"/>
    <s v="https://www.novartis.com/ch-de/news/media-releases/novartis-informiert-ueber-den-geplanten-uebergang-von-aktivitaeten-im-kleinbasel"/>
  </r>
  <r>
    <n v="288"/>
    <s v="Novo Nordisk"/>
    <x v="0"/>
    <x v="0"/>
    <x v="0"/>
    <n v="0"/>
    <n v="4000"/>
    <n v="67000"/>
    <n v="0.06"/>
    <d v="2026-09-21T00:00:00"/>
    <d v="2026-09-01T00:00:00"/>
    <s v="Day"/>
    <s v="Sep 2026"/>
    <s v="Sep 21"/>
    <x v="4"/>
    <x v="0"/>
    <s v="4 - 1K-4.9K"/>
    <n v="0"/>
    <n v="1"/>
    <n v="2"/>
    <n v="1"/>
    <s v="News media"/>
    <s v="cphpost.dk"/>
    <s v="https://cphpost.dk/2026-09-21/business-education/career/novo-has-cut-4000-more-than-first-announced/"/>
  </r>
  <r>
    <n v="289"/>
    <s v="Novo Nordisk"/>
    <x v="0"/>
    <x v="0"/>
    <x v="0"/>
    <n v="0"/>
    <n v="108"/>
    <n v="67000"/>
    <n v="2E-3"/>
    <d v="2026-09-30T00:00:00"/>
    <d v="2026-09-01T00:00:00"/>
    <s v="Day"/>
    <s v="Sep 2026"/>
    <s v="Sep 30"/>
    <x v="4"/>
    <x v="2"/>
    <s v="2 - 100-499"/>
    <n v="0"/>
    <n v="2"/>
    <n v="2"/>
    <n v="1"/>
    <s v="News media"/>
    <s v="njbiz.com"/>
    <s v="https://njbiz.com/novo-108-job-cuts-nj-headquarters/"/>
  </r>
  <r>
    <n v="290"/>
    <s v="Nutanix"/>
    <x v="1"/>
    <x v="1"/>
    <x v="0"/>
    <n v="0"/>
    <n v="390"/>
    <n v="7800"/>
    <n v="0.05"/>
    <d v="2026-08-04T00:00:00"/>
    <d v="2026-08-01T00:00:00"/>
    <s v="Day"/>
    <s v="Aug 2026"/>
    <s v="Aug 4"/>
    <x v="3"/>
    <x v="0"/>
    <s v="2 - 100-499"/>
    <n v="0"/>
    <n v="1"/>
    <n v="1"/>
    <n v="0"/>
    <s v="Company filing (SEC)"/>
    <s v="sec.gov"/>
    <s v="https://www.sec.gov/Archives/edgar/data/1618732/000119312526331661/ntnx-20260804.htm"/>
  </r>
  <r>
    <n v="291"/>
    <s v="Obsidian Entertainment"/>
    <x v="1"/>
    <x v="1"/>
    <x v="0"/>
    <n v="0"/>
    <n v="65"/>
    <n v="260"/>
    <n v="0.25"/>
    <d v="2026-07-09T00:00:00"/>
    <d v="2026-07-01T00:00:00"/>
    <s v="Day"/>
    <s v="Jul 2026"/>
    <s v="Jul 9"/>
    <x v="1"/>
    <x v="1"/>
    <s v="1 - &lt;100"/>
    <n v="0"/>
    <n v="1"/>
    <n v="1"/>
    <n v="0"/>
    <s v="News media"/>
    <s v="gematsu.com"/>
    <s v="https://www.gematsu.com/2026/07/bloomberg-obsidian-entertainment-cancels-avowed-sequel-starts-work-on-fallout-title-amid-layoffs"/>
  </r>
  <r>
    <n v="292"/>
    <s v="Omnicom"/>
    <x v="8"/>
    <x v="0"/>
    <x v="4"/>
    <n v="0"/>
    <n v="15000"/>
    <n v="120000"/>
    <n v="0.125"/>
    <d v="2026-09-10T00:00:00"/>
    <d v="2026-09-01T00:00:00"/>
    <s v="Day"/>
    <s v="Sep 2026"/>
    <s v="Sep 10"/>
    <x v="2"/>
    <x v="3"/>
    <s v="5 - 5K+"/>
    <n v="0"/>
    <n v="1"/>
    <n v="1"/>
    <n v="0"/>
    <s v="News media"/>
    <s v="mediapost.com"/>
    <s v="https://www.mediapost.com/publications/article/417911/omnicom-set-to-cut-15000-jobs.html"/>
  </r>
  <r>
    <n v="293"/>
    <s v="One Drop Foundation"/>
    <x v="2"/>
    <x v="0"/>
    <x v="2"/>
    <n v="0"/>
    <n v="25"/>
    <n v="25"/>
    <n v="1"/>
    <d v="2026-07-03T00:00:00"/>
    <d v="2026-07-01T00:00:00"/>
    <s v="Day"/>
    <s v="Jul 2026"/>
    <s v="Jul 3"/>
    <x v="1"/>
    <x v="4"/>
    <s v="1 - &lt;100"/>
    <n v="1"/>
    <n v="1"/>
    <n v="1"/>
    <n v="0"/>
    <s v="News media"/>
    <s v="montrealgazette.com"/>
    <s v="https://montrealgazette.com/news/guy-laliberte-one-drop-foundation-layoffs-operations/"/>
  </r>
  <r>
    <n v="294"/>
    <s v="Opendoor"/>
    <x v="1"/>
    <x v="1"/>
    <x v="1"/>
    <n v="1"/>
    <n v="250"/>
    <n v="1400"/>
    <n v="0.17899999999999999"/>
    <d v="2026-06-10T00:00:00"/>
    <d v="2026-06-01T00:00:00"/>
    <s v="Day"/>
    <s v="Jun 2026"/>
    <s v="Jun 10"/>
    <x v="3"/>
    <x v="3"/>
    <s v="2 - 100-499"/>
    <n v="0"/>
    <n v="1"/>
    <n v="1"/>
    <n v="0"/>
    <s v="News media"/>
    <s v="x.com"/>
    <s v="https://x.com/nejatian/status/2064734707497996543"/>
  </r>
  <r>
    <n v="295"/>
    <s v="Oracle"/>
    <x v="1"/>
    <x v="1"/>
    <x v="1"/>
    <n v="1"/>
    <n v="30000"/>
    <n v="162000"/>
    <n v="0.185"/>
    <d v="2026-03-10T00:00:00"/>
    <d v="2026-03-01T00:00:00"/>
    <s v="Day"/>
    <s v="Mar 2026"/>
    <s v="Mar 10"/>
    <x v="2"/>
    <x v="3"/>
    <s v="5 - 5K+"/>
    <n v="0"/>
    <n v="1"/>
    <n v="2"/>
    <n v="1"/>
    <s v="News media"/>
    <s v="thenextweb.com"/>
    <s v="https://thenextweb.com/news/oracle-layoffs-march-2026"/>
  </r>
  <r>
    <n v="296"/>
    <s v="Oracle"/>
    <x v="1"/>
    <x v="1"/>
    <x v="0"/>
    <n v="0"/>
    <n v="441"/>
    <n v="141000"/>
    <n v="3.0000000000000001E-3"/>
    <d v="2026-09-14T00:00:00"/>
    <d v="2026-09-01T00:00:00"/>
    <s v="Day"/>
    <s v="Sep 2026"/>
    <s v="Sep 14"/>
    <x v="2"/>
    <x v="2"/>
    <s v="2 - 100-499"/>
    <n v="0"/>
    <n v="2"/>
    <n v="2"/>
    <n v="1"/>
    <s v="Government / WARN filing"/>
    <s v="edd.ca.gov"/>
    <s v="https://edd.ca.gov/en/jobs_and_training/Layoff_Services_WARN/"/>
  </r>
  <r>
    <n v="297"/>
    <s v="Owens &amp; Minor"/>
    <x v="0"/>
    <x v="0"/>
    <x v="0"/>
    <n v="0"/>
    <n v="419"/>
    <n v="14000"/>
    <n v="0.03"/>
    <d v="2026-09-16T00:00:00"/>
    <d v="2026-09-01T00:00:00"/>
    <s v="Day"/>
    <s v="Sep 2026"/>
    <s v="Sep 16"/>
    <x v="0"/>
    <x v="2"/>
    <s v="2 - 100-499"/>
    <n v="0"/>
    <n v="1"/>
    <n v="1"/>
    <n v="0"/>
    <s v="Government / WARN filing"/>
    <s v="virginiaworks.gov"/>
    <s v="https://virginiaworks.gov/warn-notice/40177/"/>
  </r>
  <r>
    <n v="298"/>
    <s v="Ozark Materials (PPG)"/>
    <x v="5"/>
    <x v="0"/>
    <x v="0"/>
    <n v="0"/>
    <n v="52"/>
    <n v="43500"/>
    <n v="1E-3"/>
    <d v="2026-09-21T00:00:00"/>
    <d v="2026-09-01T00:00:00"/>
    <s v="Day"/>
    <s v="Sep 2026"/>
    <s v="Sep 21"/>
    <x v="0"/>
    <x v="2"/>
    <s v="1 - &lt;100"/>
    <n v="0"/>
    <n v="1"/>
    <n v="1"/>
    <n v="0"/>
    <s v="News media"/>
    <s v="finance.yahoo.com"/>
    <s v="https://finance.yahoo.com/small-business/articles/alabama-paint-manufacturing-plant-close-085526908.html"/>
  </r>
  <r>
    <n v="299"/>
    <s v="PGA Tour"/>
    <x v="8"/>
    <x v="0"/>
    <x v="2"/>
    <n v="0"/>
    <n v="80"/>
    <n v="2000"/>
    <n v="0.04"/>
    <d v="2026-04-23T00:00:00"/>
    <d v="2026-04-01T00:00:00"/>
    <s v="Day"/>
    <s v="Apr 2026"/>
    <s v="Apr 23"/>
    <x v="3"/>
    <x v="2"/>
    <s v="1 - &lt;100"/>
    <n v="0"/>
    <n v="1"/>
    <n v="1"/>
    <n v="0"/>
    <s v="News media"/>
    <s v="golfdigest.com"/>
    <s v="https://www.golfdigest.com/story/pga-tour-announces-wide-spread-layoffs-eliminates-nearly-80-positions-2026"/>
  </r>
  <r>
    <n v="300"/>
    <s v="PMG Indiana"/>
    <x v="4"/>
    <x v="0"/>
    <x v="3"/>
    <n v="0"/>
    <n v="150"/>
    <n v="1700"/>
    <n v="8.7999999999999995E-2"/>
    <d v="2026-09-02T00:00:00"/>
    <d v="2026-09-01T00:00:00"/>
    <s v="Day"/>
    <s v="Sep 2026"/>
    <s v="Sep 2"/>
    <x v="3"/>
    <x v="0"/>
    <s v="2 - 100-499"/>
    <n v="0"/>
    <n v="1"/>
    <n v="1"/>
    <n v="0"/>
    <s v="News media"/>
    <s v="insideindianabusiness.com"/>
    <s v="https://www.insideindianabusiness.com/articles/pmg-indiana-to-close-columbus-manufacturing-plant-lay-off-150-workers"/>
  </r>
  <r>
    <n v="301"/>
    <s v="PNC / FirstBank"/>
    <x v="3"/>
    <x v="0"/>
    <x v="4"/>
    <n v="0"/>
    <n v="777"/>
    <n v="2200"/>
    <n v="0.35299999999999998"/>
    <d v="2026-04-20T00:00:00"/>
    <d v="2026-04-01T00:00:00"/>
    <s v="Day"/>
    <s v="Apr 2026"/>
    <s v="Apr 20"/>
    <x v="3"/>
    <x v="1"/>
    <s v="3 - 500-999"/>
    <n v="0"/>
    <n v="1"/>
    <n v="1"/>
    <n v="0"/>
    <s v="News media"/>
    <s v="denverpost.com"/>
    <s v="https://www.denverpost.com/2026/04/20/first-bank-layoffs-lakewood-colorado-jobs/"/>
  </r>
  <r>
    <n v="302"/>
    <s v="Packaging Corp. of America"/>
    <x v="5"/>
    <x v="0"/>
    <x v="0"/>
    <n v="0"/>
    <n v="91"/>
    <n v="16800"/>
    <n v="5.0000000000000001E-3"/>
    <d v="2026-10-02T00:00:00"/>
    <d v="2026-10-01T00:00:00"/>
    <s v="Day"/>
    <s v="Oct 2026"/>
    <s v="Oct 2"/>
    <x v="0"/>
    <x v="2"/>
    <s v="1 - &lt;100"/>
    <n v="0"/>
    <n v="1"/>
    <n v="1"/>
    <n v="0"/>
    <s v="News media"/>
    <s v="daytondailynews.com"/>
    <s v="https://www.daytondailynews.com/local/middletown-s-packaging-corp-of-america-to-close-lay-off-91-employees/article_5b02605d-c48f-5f26-ad35-5ed3bcf174d7.html"/>
  </r>
  <r>
    <n v="303"/>
    <s v="Palo Alto / CyberArk"/>
    <x v="1"/>
    <x v="1"/>
    <x v="4"/>
    <n v="0"/>
    <n v="500"/>
    <n v="16000"/>
    <n v="3.1E-2"/>
    <d v="2026-02-17T00:00:00"/>
    <d v="2026-02-01T00:00:00"/>
    <s v="Day"/>
    <s v="Feb 2026"/>
    <s v="Feb 17"/>
    <x v="0"/>
    <x v="2"/>
    <s v="3 - 500-999"/>
    <n v="0"/>
    <n v="1"/>
    <n v="1"/>
    <n v="0"/>
    <s v="News media"/>
    <s v="calcalistech.com"/>
    <s v="https://www.calcalistech.com/ctechnews/article/qhfypdgbs"/>
  </r>
  <r>
    <n v="304"/>
    <s v="Patreon"/>
    <x v="1"/>
    <x v="1"/>
    <x v="0"/>
    <n v="0"/>
    <n v="93"/>
    <n v="465"/>
    <n v="0.2"/>
    <d v="2026-07-23T00:00:00"/>
    <d v="2026-07-01T00:00:00"/>
    <s v="Day"/>
    <s v="Jul 2026"/>
    <s v="Jul 23"/>
    <x v="1"/>
    <x v="3"/>
    <s v="1 - &lt;100"/>
    <n v="0"/>
    <n v="1"/>
    <n v="1"/>
    <n v="0"/>
    <s v="News media"/>
    <s v="404media.co"/>
    <s v="https://www.404media.co/patreon-lays-off-20-percent-of-its-workforce/"/>
  </r>
  <r>
    <n v="305"/>
    <s v="PayPal"/>
    <x v="9"/>
    <x v="1"/>
    <x v="1"/>
    <n v="1"/>
    <n v="4760"/>
    <n v="23800"/>
    <n v="0.2"/>
    <d v="2026-05-05T00:00:00"/>
    <d v="2026-05-01T00:00:00"/>
    <s v="Day"/>
    <s v="May 2026"/>
    <s v="May 5"/>
    <x v="0"/>
    <x v="3"/>
    <s v="4 - 1K-4.9K"/>
    <n v="0"/>
    <n v="1"/>
    <n v="2"/>
    <n v="1"/>
    <s v="News media"/>
    <s v="techcrunch.com"/>
    <s v="https://techcrunch.com/2026/05/05/paypal-says-its-becoming-a-technology-company-again-that-means-ai/"/>
  </r>
  <r>
    <n v="306"/>
    <s v="PayPal"/>
    <x v="9"/>
    <x v="1"/>
    <x v="0"/>
    <n v="0"/>
    <n v="251"/>
    <n v="23800"/>
    <n v="1.0999999999999999E-2"/>
    <d v="2026-09-03T00:00:00"/>
    <d v="2026-09-01T00:00:00"/>
    <s v="Day"/>
    <s v="Sep 2026"/>
    <s v="Sep 3"/>
    <x v="0"/>
    <x v="2"/>
    <s v="2 - 100-499"/>
    <n v="0"/>
    <n v="2"/>
    <n v="2"/>
    <n v="1"/>
    <s v="News media"/>
    <s v="finance.yahoo.com"/>
    <s v="https://finance.yahoo.com/technology/articles/paypal-plans-lay-off-hundreds-220113558.html"/>
  </r>
  <r>
    <n v="307"/>
    <s v="PeaceHealth"/>
    <x v="0"/>
    <x v="0"/>
    <x v="0"/>
    <n v="0"/>
    <n v="150"/>
    <n v="16000"/>
    <n v="8.9999999999999993E-3"/>
    <d v="2026-09-17T00:00:00"/>
    <d v="2026-09-01T00:00:00"/>
    <s v="Day"/>
    <s v="Sep 2026"/>
    <s v="Sep 17"/>
    <x v="0"/>
    <x v="2"/>
    <s v="2 - 100-499"/>
    <n v="0"/>
    <n v="1"/>
    <n v="1"/>
    <n v="0"/>
    <s v="News media"/>
    <s v="columbian.com"/>
    <s v="https://www.columbian.com/news/2026/sep/18/peacehealth-to-lay-off-150-employees-statewide-including-119-in-clark-county/"/>
  </r>
  <r>
    <n v="308"/>
    <s v="Peloton"/>
    <x v="6"/>
    <x v="0"/>
    <x v="2"/>
    <n v="0"/>
    <n v="286"/>
    <n v="2600"/>
    <n v="0.11"/>
    <d v="2026-01-01T00:00:00"/>
    <d v="2026-01-01T00:00:00"/>
    <s v="Month"/>
    <s v="Jan 2026"/>
    <s v="Jan 2026"/>
    <x v="3"/>
    <x v="3"/>
    <s v="2 - 100-499"/>
    <n v="0"/>
    <n v="1"/>
    <n v="1"/>
    <n v="0"/>
    <s v="News media"/>
    <s v="cheapism.com"/>
    <s v="https://www.cheapism.com/2026-layoffs-major-american-companies/"/>
  </r>
  <r>
    <n v="309"/>
    <s v="Pendo"/>
    <x v="1"/>
    <x v="1"/>
    <x v="1"/>
    <n v="1"/>
    <n v="90"/>
    <n v="850"/>
    <n v="0.106"/>
    <d v="2026-04-07T00:00:00"/>
    <d v="2026-04-01T00:00:00"/>
    <s v="Day"/>
    <s v="Apr 2026"/>
    <s v="Apr 7"/>
    <x v="1"/>
    <x v="3"/>
    <s v="1 - &lt;100"/>
    <n v="0"/>
    <n v="1"/>
    <n v="1"/>
    <n v="0"/>
    <s v="News media"/>
    <s v="axios.com"/>
    <s v="https://www.axios.com/local/raleigh/2026/04/07/raleigh-software-unicorn-pendo-layoffs-jobs"/>
  </r>
  <r>
    <n v="310"/>
    <s v="Penn Entertainment"/>
    <x v="8"/>
    <x v="0"/>
    <x v="0"/>
    <n v="0"/>
    <n v="75"/>
    <n v="25000"/>
    <n v="3.0000000000000001E-3"/>
    <d v="2026-05-14T00:00:00"/>
    <d v="2026-05-01T00:00:00"/>
    <s v="Day"/>
    <s v="May 2026"/>
    <s v="May 14"/>
    <x v="0"/>
    <x v="2"/>
    <s v="1 - &lt;100"/>
    <n v="0"/>
    <n v="1"/>
    <n v="1"/>
    <n v="0"/>
    <s v="News media"/>
    <s v="next.io"/>
    <s v="https://next.io/news/people/sources-penn-laying-off-75-employees/"/>
  </r>
  <r>
    <n v="311"/>
    <s v="Pentera"/>
    <x v="1"/>
    <x v="1"/>
    <x v="1"/>
    <n v="1"/>
    <n v="60"/>
    <n v="470"/>
    <n v="0.128"/>
    <d v="2026-08-17T00:00:00"/>
    <d v="2026-08-01T00:00:00"/>
    <s v="Day"/>
    <s v="Aug 2026"/>
    <s v="Aug 17"/>
    <x v="1"/>
    <x v="3"/>
    <s v="1 - &lt;100"/>
    <n v="0"/>
    <n v="1"/>
    <n v="1"/>
    <n v="0"/>
    <s v="News media"/>
    <s v="calcalistech.com"/>
    <s v="https://www.calcalistech.com/ctechnews/article/cri3dnoqo"/>
  </r>
  <r>
    <n v="312"/>
    <s v="Pep Boys"/>
    <x v="4"/>
    <x v="0"/>
    <x v="4"/>
    <n v="0"/>
    <n v="169"/>
    <n v="8000"/>
    <n v="2.1000000000000001E-2"/>
    <d v="2026-09-25T00:00:00"/>
    <d v="2026-09-01T00:00:00"/>
    <s v="Day"/>
    <s v="Sep 2026"/>
    <s v="Sep 25"/>
    <x v="3"/>
    <x v="2"/>
    <s v="2 - 100-499"/>
    <n v="0"/>
    <n v="1"/>
    <n v="1"/>
    <n v="0"/>
    <s v="News media"/>
    <s v="wfmz.com"/>
    <s v="https://www.wfmz.com/news/area/southeastern-pa/upper-montgomery-county/mass-layoff-coming-to-pep-boys-montgomery-county-headquarters/article_53033628-14ff-4c20-94b4-39f5a5a3431c.html"/>
  </r>
  <r>
    <n v="313"/>
    <s v="PepsiCo"/>
    <x v="6"/>
    <x v="0"/>
    <x v="0"/>
    <n v="0"/>
    <n v="143"/>
    <n v="306000"/>
    <n v="0"/>
    <d v="2026-09-15T00:00:00"/>
    <d v="2026-09-01T00:00:00"/>
    <s v="Day"/>
    <s v="Sep 2026"/>
    <s v="Sep 15"/>
    <x v="2"/>
    <x v="2"/>
    <s v="2 - 100-499"/>
    <n v="0"/>
    <n v="1"/>
    <n v="1"/>
    <n v="0"/>
    <s v="News media"/>
    <s v="fooddive.com"/>
    <s v="https://www.fooddive.com/news/pepsico-layoffs-maryland-bottling-plant-manufacturing-operations/830548/"/>
  </r>
  <r>
    <n v="314"/>
    <s v="Perstorp Polyols (PETRONAS)"/>
    <x v="5"/>
    <x v="0"/>
    <x v="0"/>
    <n v="0"/>
    <n v="50"/>
    <n v="1500"/>
    <n v="3.3000000000000002E-2"/>
    <d v="2026-09-14T00:00:00"/>
    <d v="2026-09-01T00:00:00"/>
    <s v="Day"/>
    <s v="Sep 2026"/>
    <s v="Sep 14"/>
    <x v="3"/>
    <x v="2"/>
    <s v="1 - &lt;100"/>
    <n v="0"/>
    <n v="1"/>
    <n v="1"/>
    <n v="0"/>
    <s v="Government / WARN filing"/>
    <s v="dam.assets.ohio.gov"/>
    <s v="https://dam.assets.ohio.gov/image/upload/jfs.ohio.gov/warn/WARN%202026/Perstorp_Polyols_Inc.pdf"/>
  </r>
  <r>
    <n v="315"/>
    <s v="Pinterest"/>
    <x v="8"/>
    <x v="0"/>
    <x v="1"/>
    <n v="1"/>
    <n v="700"/>
    <n v="4700"/>
    <n v="0.14899999999999999"/>
    <d v="2026-01-27T00:00:00"/>
    <d v="2026-01-01T00:00:00"/>
    <s v="Day"/>
    <s v="Jan 2026"/>
    <s v="Jan 27"/>
    <x v="3"/>
    <x v="3"/>
    <s v="3 - 500-999"/>
    <n v="0"/>
    <n v="1"/>
    <n v="1"/>
    <n v="0"/>
    <s v="News media"/>
    <s v="finance.yahoo.com"/>
    <s v="https://finance.yahoo.com/news/layoffs-surge-2026-10-major-174540901.html"/>
  </r>
  <r>
    <n v="316"/>
    <s v="Polygon Labs"/>
    <x v="9"/>
    <x v="1"/>
    <x v="0"/>
    <n v="0"/>
    <n v="60"/>
    <n v="260"/>
    <n v="0.23100000000000001"/>
    <d v="2026-01-16T00:00:00"/>
    <d v="2026-01-01T00:00:00"/>
    <s v="Day"/>
    <s v="Jan 2026"/>
    <s v="Jan 16"/>
    <x v="1"/>
    <x v="3"/>
    <s v="1 - &lt;100"/>
    <n v="0"/>
    <n v="1"/>
    <n v="1"/>
    <n v="0"/>
    <s v="News media"/>
    <s v="coindesk.com"/>
    <s v="https://www.coindesk.com/business/2026/01/16/polygon-labs-said-to-have-laid-off-60-staff-following-new-usd250-million-acquisition"/>
  </r>
  <r>
    <n v="317"/>
    <s v="Porsche"/>
    <x v="4"/>
    <x v="0"/>
    <x v="0"/>
    <n v="0"/>
    <n v="3900"/>
    <n v="42000"/>
    <n v="9.2999999999999999E-2"/>
    <d v="2026-06-24T00:00:00"/>
    <d v="2026-06-01T00:00:00"/>
    <s v="Day"/>
    <s v="Jun 2026"/>
    <s v="Jun 24"/>
    <x v="0"/>
    <x v="0"/>
    <s v="4 - 1K-4.9K"/>
    <n v="0"/>
    <n v="1"/>
    <n v="2"/>
    <n v="1"/>
    <s v="News media"/>
    <s v="cbtnews.com"/>
    <s v="https://www.cbtnews.com/porsche-confirms-3900-job-cuts/"/>
  </r>
  <r>
    <n v="318"/>
    <s v="Porsche"/>
    <x v="4"/>
    <x v="0"/>
    <x v="0"/>
    <n v="0"/>
    <n v="5000"/>
    <n v="42000"/>
    <n v="0.11899999999999999"/>
    <d v="2026-07-27T00:00:00"/>
    <d v="2026-07-01T00:00:00"/>
    <s v="Day"/>
    <s v="Jul 2026"/>
    <s v="Jul 27"/>
    <x v="0"/>
    <x v="3"/>
    <s v="5 - 5K+"/>
    <n v="0"/>
    <n v="2"/>
    <n v="2"/>
    <n v="1"/>
    <s v="News media"/>
    <s v="cnbc.com"/>
    <s v="https://www.cnbc.com/2026/07/27/porsche-ramps-up-job-cuts-to-9000-by-2035.html"/>
  </r>
  <r>
    <n v="319"/>
    <s v="Portillo's"/>
    <x v="7"/>
    <x v="0"/>
    <x v="2"/>
    <n v="0"/>
    <n v="25"/>
    <n v="7800"/>
    <n v="3.0000000000000001E-3"/>
    <d v="2026-08-05T00:00:00"/>
    <d v="2026-08-01T00:00:00"/>
    <s v="Day"/>
    <s v="Aug 2026"/>
    <s v="Aug 5"/>
    <x v="3"/>
    <x v="2"/>
    <s v="1 - &lt;100"/>
    <n v="0"/>
    <n v="1"/>
    <n v="1"/>
    <n v="0"/>
    <s v="News media"/>
    <s v="chicago.suntimes.com"/>
    <s v="https://chicago.suntimes.com/work/2026/08/05/portillos-laying-off-staff-oak-brook-headquarters"/>
  </r>
  <r>
    <n v="320"/>
    <s v="Portland Trail Blazers"/>
    <x v="8"/>
    <x v="0"/>
    <x v="2"/>
    <n v="0"/>
    <n v="70"/>
    <n v="250"/>
    <n v="0.28000000000000003"/>
    <d v="2026-05-19T00:00:00"/>
    <d v="2026-05-01T00:00:00"/>
    <s v="Day"/>
    <s v="May 2026"/>
    <s v="May 19"/>
    <x v="1"/>
    <x v="1"/>
    <s v="1 - &lt;100"/>
    <n v="0"/>
    <n v="1"/>
    <n v="1"/>
    <n v="0"/>
    <s v="News media"/>
    <s v="hoopsrumors.com"/>
    <s v="https://www.hoopsrumors.com/2026/05/blazers-reportedly-layoff-about-70-business-employees.html"/>
  </r>
  <r>
    <n v="321"/>
    <s v="Postal Center International"/>
    <x v="4"/>
    <x v="0"/>
    <x v="0"/>
    <n v="0"/>
    <n v="164"/>
    <n v="560"/>
    <n v="0.29299999999999998"/>
    <d v="2026-08-18T00:00:00"/>
    <d v="2026-08-01T00:00:00"/>
    <s v="Day"/>
    <s v="Aug 2026"/>
    <s v="Aug 18"/>
    <x v="1"/>
    <x v="1"/>
    <s v="2 - 100-499"/>
    <n v="0"/>
    <n v="1"/>
    <n v="1"/>
    <n v="0"/>
    <s v="News media"/>
    <s v="bizjournals.com"/>
    <s v="https://www.bizjournals.com/sanantonio/news/2026/08/18/mail-operator-layoffs.html"/>
  </r>
  <r>
    <n v="322"/>
    <s v="Power Safety Service"/>
    <x v="4"/>
    <x v="0"/>
    <x v="0"/>
    <n v="0"/>
    <n v="189"/>
    <n v="189"/>
    <n v="1"/>
    <d v="2026-08-28T00:00:00"/>
    <d v="2026-08-01T00:00:00"/>
    <s v="Day"/>
    <s v="Aug 2026"/>
    <s v="Aug 28"/>
    <x v="1"/>
    <x v="4"/>
    <s v="2 - 100-499"/>
    <n v="1"/>
    <n v="1"/>
    <n v="1"/>
    <n v="0"/>
    <s v="Government / WARN filing"/>
    <s v="edd.ca.gov"/>
    <s v="https://edd.ca.gov/en/jobs_and_training/Layoff_Services_WARN/"/>
  </r>
  <r>
    <n v="323"/>
    <s v="Prairie Farms Dairy"/>
    <x v="6"/>
    <x v="0"/>
    <x v="0"/>
    <n v="0"/>
    <n v="118"/>
    <n v="7000"/>
    <n v="1.7000000000000001E-2"/>
    <d v="2026-07-22T00:00:00"/>
    <d v="2026-07-01T00:00:00"/>
    <s v="Day"/>
    <s v="Jul 2026"/>
    <s v="Jul 22"/>
    <x v="3"/>
    <x v="2"/>
    <s v="2 - 100-499"/>
    <n v="0"/>
    <n v="1"/>
    <n v="1"/>
    <n v="0"/>
    <s v="News media"/>
    <s v="finance.yahoo.com"/>
    <s v="https://finance.yahoo.com/small-business/articles/prairie-farms-dairy-close-two-154725503.html"/>
  </r>
  <r>
    <n v="324"/>
    <s v="Procter &amp; Gamble"/>
    <x v="6"/>
    <x v="0"/>
    <x v="2"/>
    <n v="0"/>
    <n v="7000"/>
    <n v="108000"/>
    <n v="6.5000000000000002E-2"/>
    <m/>
    <m/>
    <s v="Multi-year plan"/>
    <s v="2025-27 program"/>
    <s v="2025-27"/>
    <x v="2"/>
    <x v="0"/>
    <s v="5 - 5K+"/>
    <n v="0"/>
    <n v="1"/>
    <n v="1"/>
    <n v="0"/>
    <s v="News media"/>
    <s v="cnbc.com"/>
    <s v="https://www.cnbc.com/2025/06/05/procter-gamble-job-cuts-restructuring.html"/>
  </r>
  <r>
    <n v="325"/>
    <s v="Prudential Financial"/>
    <x v="3"/>
    <x v="0"/>
    <x v="0"/>
    <n v="0"/>
    <n v="89"/>
    <n v="36824"/>
    <n v="2E-3"/>
    <d v="2026-07-22T00:00:00"/>
    <d v="2026-07-01T00:00:00"/>
    <s v="Day"/>
    <s v="Jul 2026"/>
    <s v="Jul 22"/>
    <x v="0"/>
    <x v="2"/>
    <s v="1 - &lt;100"/>
    <n v="0"/>
    <n v="1"/>
    <n v="2"/>
    <n v="1"/>
    <s v="News media"/>
    <s v="news.ambest.com"/>
    <s v="https://news.ambest.com/newscontent.aspx?AltSrc=104&amp;RefNum=275837"/>
  </r>
  <r>
    <n v="326"/>
    <s v="Prudential Financial"/>
    <x v="3"/>
    <x v="0"/>
    <x v="0"/>
    <n v="0"/>
    <n v="125"/>
    <n v="36824"/>
    <n v="3.0000000000000001E-3"/>
    <d v="2026-09-30T00:00:00"/>
    <d v="2026-09-01T00:00:00"/>
    <s v="Day"/>
    <s v="Sep 2026"/>
    <s v="Sep 30"/>
    <x v="0"/>
    <x v="2"/>
    <s v="2 - 100-499"/>
    <n v="0"/>
    <n v="2"/>
    <n v="2"/>
    <n v="1"/>
    <s v="News media"/>
    <s v="finance.yahoo.com"/>
    <s v="https://finance.yahoo.com/economy/articles/prudential-insurance-plans-125-more-163009489.html"/>
  </r>
  <r>
    <n v="327"/>
    <s v="Qualtrics"/>
    <x v="1"/>
    <x v="1"/>
    <x v="4"/>
    <n v="0"/>
    <n v="117"/>
    <n v="6454"/>
    <n v="1.7999999999999999E-2"/>
    <d v="2026-09-02T00:00:00"/>
    <d v="2026-09-01T00:00:00"/>
    <s v="Day"/>
    <s v="Sep 2026"/>
    <s v="Sep 2"/>
    <x v="3"/>
    <x v="2"/>
    <s v="2 - 100-499"/>
    <n v="0"/>
    <n v="1"/>
    <n v="1"/>
    <n v="0"/>
    <s v="News media"/>
    <s v="geekwire.com"/>
    <s v="https://www.geekwire.com/2026/qualtrics-cut-117-jobs-tied-to-seattle-headquarters-new-filing-shows/"/>
  </r>
  <r>
    <n v="328"/>
    <s v="RTI International"/>
    <x v="2"/>
    <x v="0"/>
    <x v="3"/>
    <n v="0"/>
    <n v="200"/>
    <n v="3400"/>
    <n v="5.8999999999999997E-2"/>
    <d v="2026-10-01T00:00:00"/>
    <d v="2026-10-01T00:00:00"/>
    <s v="Day"/>
    <s v="Oct 2026"/>
    <s v="Oct 1"/>
    <x v="3"/>
    <x v="0"/>
    <s v="2 - 100-499"/>
    <n v="0"/>
    <n v="1"/>
    <n v="1"/>
    <n v="0"/>
    <s v="News media"/>
    <s v="wral.com"/>
    <s v="https://www.wral.com/business/rti-to-cut-200-more-jobs-as-it-looks-to-streamline-operations-october-2026/"/>
  </r>
  <r>
    <n v="329"/>
    <s v="RYAM (Rayonier Advanced Materials)"/>
    <x v="5"/>
    <x v="0"/>
    <x v="3"/>
    <n v="0"/>
    <n v="425"/>
    <n v="2500"/>
    <n v="0.17"/>
    <d v="2026-08-27T00:00:00"/>
    <d v="2026-08-01T00:00:00"/>
    <s v="Day"/>
    <s v="Aug 2026"/>
    <s v="Aug 27"/>
    <x v="3"/>
    <x v="3"/>
    <s v="2 - 100-499"/>
    <n v="0"/>
    <n v="1"/>
    <n v="1"/>
    <n v="0"/>
    <s v="News media"/>
    <s v="newsweek.com"/>
    <s v="https://www.newsweek.com/canadian-company-announces-mass-layoffs-over-us-tariff-nuclear-bomb-donald-trump-ryam-12380188"/>
  </r>
  <r>
    <n v="330"/>
    <s v="Rackspace"/>
    <x v="1"/>
    <x v="1"/>
    <x v="1"/>
    <n v="1"/>
    <n v="750"/>
    <n v="5000"/>
    <n v="0.15"/>
    <d v="2026-06-10T00:00:00"/>
    <d v="2026-06-01T00:00:00"/>
    <s v="Day"/>
    <s v="Jun 2026"/>
    <s v="Jun 10"/>
    <x v="3"/>
    <x v="3"/>
    <s v="3 - 500-999"/>
    <n v="0"/>
    <n v="1"/>
    <n v="1"/>
    <n v="0"/>
    <s v="News media"/>
    <s v="sanantonioreport.org"/>
    <s v="https://sanantonioreport.org/rackspace-750-workers-pivots-infrastructure-ai-san-antonio/"/>
  </r>
  <r>
    <n v="331"/>
    <s v="Raley's"/>
    <x v="7"/>
    <x v="0"/>
    <x v="0"/>
    <n v="0"/>
    <n v="51"/>
    <n v="11500"/>
    <n v="4.0000000000000001E-3"/>
    <d v="2026-08-27T00:00:00"/>
    <d v="2026-08-01T00:00:00"/>
    <s v="Day"/>
    <s v="Aug 2026"/>
    <s v="Aug 27"/>
    <x v="0"/>
    <x v="2"/>
    <s v="1 - &lt;100"/>
    <n v="0"/>
    <n v="1"/>
    <n v="1"/>
    <n v="0"/>
    <s v="Government / WARN filing"/>
    <s v="edd.ca.gov"/>
    <s v="https://edd.ca.gov/en/jobs_and_training/Layoff_Services_WARN/"/>
  </r>
  <r>
    <n v="332"/>
    <s v="Rapid7"/>
    <x v="1"/>
    <x v="1"/>
    <x v="0"/>
    <n v="0"/>
    <n v="300"/>
    <n v="2600"/>
    <n v="0.115"/>
    <d v="2026-08-10T00:00:00"/>
    <d v="2026-08-01T00:00:00"/>
    <s v="Day"/>
    <s v="Aug 2026"/>
    <s v="Aug 10"/>
    <x v="3"/>
    <x v="3"/>
    <s v="2 - 100-499"/>
    <n v="0"/>
    <n v="1"/>
    <n v="1"/>
    <n v="0"/>
    <s v="News media"/>
    <s v="bostonglobe.com"/>
    <s v="https://www.bostonglobe.com/2026/08/10/business/rapid7-layoffs/"/>
  </r>
  <r>
    <n v="333"/>
    <s v="Rapyd"/>
    <x v="9"/>
    <x v="1"/>
    <x v="1"/>
    <n v="1"/>
    <n v="100"/>
    <n v="700"/>
    <n v="0.14299999999999999"/>
    <d v="2026-05-28T00:00:00"/>
    <d v="2026-05-01T00:00:00"/>
    <s v="Day"/>
    <s v="May 2026"/>
    <s v="May 28"/>
    <x v="1"/>
    <x v="3"/>
    <s v="2 - 100-499"/>
    <n v="0"/>
    <n v="1"/>
    <n v="1"/>
    <n v="0"/>
    <s v="News media"/>
    <s v="calcalistech.com"/>
    <s v="https://www.calcalistech.com/ctechnews/article/h1r00jfrgzl"/>
  </r>
  <r>
    <n v="334"/>
    <s v="Reach plc"/>
    <x v="8"/>
    <x v="0"/>
    <x v="1"/>
    <n v="1"/>
    <n v="220"/>
    <n v="3100"/>
    <n v="7.0999999999999994E-2"/>
    <d v="2026-09-16T00:00:00"/>
    <d v="2026-09-01T00:00:00"/>
    <s v="Day"/>
    <s v="Sep 2026"/>
    <s v="Sep 16"/>
    <x v="3"/>
    <x v="0"/>
    <s v="2 - 100-499"/>
    <n v="0"/>
    <n v="1"/>
    <n v="1"/>
    <n v="0"/>
    <s v="News media"/>
    <s v="cp24.com"/>
    <s v="https://www.cp24.com/news/world/2026/09/16/uk-media-group-reach-to-cut-220-journalist-jobs/"/>
  </r>
  <r>
    <n v="335"/>
    <s v="Redwood Materials"/>
    <x v="5"/>
    <x v="0"/>
    <x v="0"/>
    <n v="0"/>
    <n v="135"/>
    <n v="1350"/>
    <n v="0.1"/>
    <d v="2026-04-21T00:00:00"/>
    <d v="2026-04-01T00:00:00"/>
    <s v="Day"/>
    <s v="Apr 2026"/>
    <s v="Apr 21"/>
    <x v="3"/>
    <x v="3"/>
    <s v="2 - 100-499"/>
    <n v="0"/>
    <n v="1"/>
    <n v="1"/>
    <n v="0"/>
    <s v="News media"/>
    <s v="techcrunch.com"/>
    <s v="https://techcrunch.com/2026/04/21/redwood-materials-lays-off-10-in-restructuring-to-chase-energy-storage-business/"/>
  </r>
  <r>
    <n v="336"/>
    <s v="Regional Acceptance (Truist)"/>
    <x v="3"/>
    <x v="0"/>
    <x v="0"/>
    <n v="0"/>
    <n v="156"/>
    <n v="38711"/>
    <n v="4.0000000000000001E-3"/>
    <d v="2026-09-15T00:00:00"/>
    <d v="2026-09-01T00:00:00"/>
    <s v="Day"/>
    <s v="Sep 2026"/>
    <s v="Sep 15"/>
    <x v="0"/>
    <x v="2"/>
    <s v="2 - 100-499"/>
    <n v="0"/>
    <n v="1"/>
    <n v="2"/>
    <n v="1"/>
    <s v="Government / WARN filing"/>
    <s v="commerce.nc.gov"/>
    <s v="https://www.commerce.nc.gov/data-tools-reports/labor-market-data-tools/workforce-warn-reports/report-workforce-warn-summary-list-2026"/>
  </r>
  <r>
    <n v="337"/>
    <s v="Regional Acceptance (Truist)"/>
    <x v="3"/>
    <x v="0"/>
    <x v="0"/>
    <n v="0"/>
    <n v="205"/>
    <n v="38711"/>
    <n v="5.0000000000000001E-3"/>
    <d v="2026-09-22T00:00:00"/>
    <d v="2026-09-01T00:00:00"/>
    <s v="Day"/>
    <s v="Sep 2026"/>
    <s v="Sep 22"/>
    <x v="0"/>
    <x v="2"/>
    <s v="2 - 100-499"/>
    <n v="0"/>
    <n v="2"/>
    <n v="2"/>
    <n v="1"/>
    <s v="News media"/>
    <s v="chron.com"/>
    <s v="https://www.chron.com/news/article/truist-arlington-texas-layoffs-22443577.php"/>
  </r>
  <r>
    <n v="338"/>
    <s v="Renewal by Andersen"/>
    <x v="5"/>
    <x v="0"/>
    <x v="0"/>
    <n v="0"/>
    <n v="284"/>
    <n v="12000"/>
    <n v="2.4E-2"/>
    <d v="2026-09-01T00:00:00"/>
    <d v="2026-09-01T00:00:00"/>
    <s v="Day"/>
    <s v="Sep 2026"/>
    <s v="Sep 1"/>
    <x v="0"/>
    <x v="2"/>
    <s v="2 - 100-499"/>
    <n v="0"/>
    <n v="1"/>
    <n v="1"/>
    <n v="0"/>
    <s v="Government / WARN filing"/>
    <s v="edd.ca.gov"/>
    <s v="https://edd.ca.gov/en/jobs_and_training/Layoff_Services_WARN/"/>
  </r>
  <r>
    <n v="339"/>
    <s v="Replimune"/>
    <x v="0"/>
    <x v="0"/>
    <x v="2"/>
    <n v="0"/>
    <n v="161"/>
    <n v="270"/>
    <n v="0.59599999999999997"/>
    <d v="2026-04-21T00:00:00"/>
    <d v="2026-04-01T00:00:00"/>
    <s v="Day"/>
    <s v="Apr 2026"/>
    <s v="Apr 21"/>
    <x v="1"/>
    <x v="1"/>
    <s v="2 - 100-499"/>
    <n v="0"/>
    <n v="1"/>
    <n v="1"/>
    <n v="0"/>
    <s v="News media"/>
    <s v="biospace.com"/>
    <s v="https://www.biospace.com/biospace-layoff-tracker"/>
  </r>
  <r>
    <n v="340"/>
    <s v="Republic National Distributing"/>
    <x v="6"/>
    <x v="0"/>
    <x v="4"/>
    <n v="0"/>
    <n v="2774"/>
    <n v="10000"/>
    <n v="0.27699999999999991"/>
    <d v="2026-04-23T00:00:00"/>
    <d v="2026-04-01T00:00:00"/>
    <s v="Day"/>
    <s v="Apr 2026"/>
    <s v="Apr 23"/>
    <x v="0"/>
    <x v="1"/>
    <s v="4 - 1K-4.9K"/>
    <n v="0"/>
    <n v="1"/>
    <n v="1"/>
    <n v="0"/>
    <s v="News media"/>
    <s v="thestreet.com"/>
    <s v="https://www.thestreet.com/employment/another-major-alcohol-distributor-rndc-signals-nearly-2800-job-cuts"/>
  </r>
  <r>
    <n v="341"/>
    <s v="Reyes Coca-Cola Bottling"/>
    <x v="6"/>
    <x v="0"/>
    <x v="0"/>
    <n v="0"/>
    <n v="85"/>
    <n v="10000"/>
    <n v="8.9999999999999993E-3"/>
    <d v="2026-05-08T00:00:00"/>
    <d v="2026-05-01T00:00:00"/>
    <s v="Day"/>
    <s v="May 2026"/>
    <s v="May 8"/>
    <x v="0"/>
    <x v="2"/>
    <s v="1 - &lt;100"/>
    <n v="0"/>
    <n v="1"/>
    <n v="1"/>
    <n v="0"/>
    <s v="Government / WARN filing"/>
    <s v="warntracker.com"/>
    <s v="https://www.warntracker.com/company/reyes-coca-cola-bottling"/>
  </r>
  <r>
    <n v="342"/>
    <s v="Rivian"/>
    <x v="4"/>
    <x v="0"/>
    <x v="3"/>
    <n v="0"/>
    <n v="300"/>
    <n v="15232"/>
    <n v="0.02"/>
    <d v="2026-06-16T00:00:00"/>
    <d v="2026-06-01T00:00:00"/>
    <s v="Day"/>
    <s v="Jun 2026"/>
    <s v="Jun 16"/>
    <x v="0"/>
    <x v="2"/>
    <s v="2 - 100-499"/>
    <n v="0"/>
    <n v="1"/>
    <n v="1"/>
    <n v="0"/>
    <s v="News media"/>
    <s v="cnbc.com"/>
    <s v="https://www.cnbc.com/2026/06/16/rivian-layoffs.html"/>
  </r>
  <r>
    <n v="343"/>
    <s v="Robinhood"/>
    <x v="9"/>
    <x v="1"/>
    <x v="0"/>
    <n v="0"/>
    <n v="290"/>
    <n v="2900"/>
    <n v="0.1"/>
    <d v="2026-06-16T00:00:00"/>
    <d v="2026-06-01T00:00:00"/>
    <s v="Day"/>
    <s v="Jun 2026"/>
    <s v="Jun 16"/>
    <x v="3"/>
    <x v="3"/>
    <s v="2 - 100-499"/>
    <n v="0"/>
    <n v="1"/>
    <n v="1"/>
    <n v="0"/>
    <s v="News media"/>
    <s v="fortune.com"/>
    <s v="https://fortune.com/2026/06/16/robinhood-announces-layoffs-vladimir-tenev/"/>
  </r>
  <r>
    <n v="344"/>
    <s v="Roskam Baking Company"/>
    <x v="6"/>
    <x v="0"/>
    <x v="0"/>
    <n v="0"/>
    <n v="115"/>
    <n v="2000"/>
    <n v="5.7999999999999899E-2"/>
    <d v="2026-08-17T00:00:00"/>
    <d v="2026-08-01T00:00:00"/>
    <s v="Day"/>
    <s v="Aug 2026"/>
    <s v="Aug 17"/>
    <x v="3"/>
    <x v="0"/>
    <s v="2 - 100-499"/>
    <n v="0"/>
    <n v="1"/>
    <n v="1"/>
    <n v="0"/>
    <s v="Government / WARN filing"/>
    <s v="edd.ca.gov"/>
    <s v="https://edd.ca.gov/en/jobs_and_training/Layoff_Services_WARN"/>
  </r>
  <r>
    <n v="345"/>
    <s v="Ruiz Foods"/>
    <x v="5"/>
    <x v="0"/>
    <x v="3"/>
    <n v="0"/>
    <n v="176"/>
    <n v="4000"/>
    <n v="4.3999999999999997E-2"/>
    <d v="2026-09-02T00:00:00"/>
    <d v="2026-09-01T00:00:00"/>
    <s v="Day"/>
    <s v="Sep 2026"/>
    <s v="Sep 2"/>
    <x v="3"/>
    <x v="2"/>
    <s v="2 - 100-499"/>
    <n v="0"/>
    <n v="1"/>
    <n v="1"/>
    <n v="0"/>
    <s v="Government / WARN filing"/>
    <s v="edd.ca.gov"/>
    <s v="https://edd.ca.gov/en/jobs_and_training/Layoff_Services_WARN/"/>
  </r>
  <r>
    <n v="346"/>
    <s v="Ryder"/>
    <x v="4"/>
    <x v="0"/>
    <x v="0"/>
    <n v="0"/>
    <n v="73"/>
    <n v="51600"/>
    <n v="1E-3"/>
    <d v="2026-08-17T00:00:00"/>
    <d v="2026-08-01T00:00:00"/>
    <s v="Day"/>
    <s v="Aug 2026"/>
    <s v="Aug 17"/>
    <x v="4"/>
    <x v="2"/>
    <s v="1 - &lt;100"/>
    <n v="0"/>
    <n v="1"/>
    <n v="1"/>
    <n v="0"/>
    <s v="News media"/>
    <s v="abc11.com"/>
    <s v="https://abc11.com/post/ryder-trucks-announces-73-layoffs-coming-fayetteville/19693737/"/>
  </r>
  <r>
    <n v="347"/>
    <s v="SFC Global (Schwan's)"/>
    <x v="5"/>
    <x v="0"/>
    <x v="0"/>
    <n v="0"/>
    <n v="170"/>
    <n v="5000"/>
    <n v="3.4000000000000002E-2"/>
    <d v="2026-01-01T00:00:00"/>
    <d v="2026-01-01T00:00:00"/>
    <s v="Month"/>
    <s v="Jan 2026"/>
    <s v="Jan 2026"/>
    <x v="3"/>
    <x v="2"/>
    <s v="2 - 100-499"/>
    <n v="0"/>
    <n v="1"/>
    <n v="1"/>
    <n v="0"/>
    <s v="News media"/>
    <s v="patch.com"/>
    <s v="https://patch.com/new-jersey/across-nj/hundreds-nj-job-cuts-open-2026"/>
  </r>
  <r>
    <n v="348"/>
    <s v="SK Battery America"/>
    <x v="4"/>
    <x v="0"/>
    <x v="3"/>
    <n v="0"/>
    <n v="958"/>
    <n v="2566"/>
    <n v="0.373"/>
    <d v="2026-03-16T00:00:00"/>
    <d v="2026-03-01T00:00:00"/>
    <s v="Day"/>
    <s v="Mar 2026"/>
    <s v="Mar 16"/>
    <x v="3"/>
    <x v="1"/>
    <s v="3 - 500-999"/>
    <n v="0"/>
    <n v="1"/>
    <n v="1"/>
    <n v="0"/>
    <s v="News media"/>
    <s v="ajc.com"/>
    <s v="https://www.ajc.com/business/2026/03/sk-battery-lays-off-nearly-1000-employees-at-north-georgia-plant/"/>
  </r>
  <r>
    <n v="349"/>
    <s v="Saddle Creek Logistics Services"/>
    <x v="4"/>
    <x v="0"/>
    <x v="0"/>
    <n v="0"/>
    <n v="178"/>
    <n v="2400"/>
    <n v="7.3999999999999996E-2"/>
    <d v="2026-08-17T00:00:00"/>
    <d v="2026-08-01T00:00:00"/>
    <s v="Day"/>
    <s v="Aug 2026"/>
    <s v="Aug 17"/>
    <x v="3"/>
    <x v="0"/>
    <s v="2 - 100-499"/>
    <n v="0"/>
    <n v="1"/>
    <n v="1"/>
    <n v="0"/>
    <s v="News media"/>
    <s v="businessobserverfl.com"/>
    <s v="https://www.businessobserverfl.com/news/2026/aug/17/lakeland-logistics-company-job-cuts-plant-city/"/>
  </r>
  <r>
    <n v="350"/>
    <s v="Saks Global"/>
    <x v="7"/>
    <x v="0"/>
    <x v="0"/>
    <n v="0"/>
    <n v="1866"/>
    <n v="17000"/>
    <n v="0.11"/>
    <d v="2026-06-06T00:00:00"/>
    <d v="2026-06-01T00:00:00"/>
    <s v="Day"/>
    <s v="Jun 2026"/>
    <s v="Jun 6"/>
    <x v="0"/>
    <x v="3"/>
    <s v="4 - 1K-4.9K"/>
    <n v="0"/>
    <n v="1"/>
    <n v="1"/>
    <n v="0"/>
    <s v="News media"/>
    <s v="investing.com"/>
    <s v="https://www.investing.com/news/stock-market-news/saks-global-wins-court-approval-for-bankruptcy-restructuring-4728991"/>
  </r>
  <r>
    <n v="351"/>
    <s v="Salesforce"/>
    <x v="1"/>
    <x v="1"/>
    <x v="1"/>
    <n v="1"/>
    <n v="1000"/>
    <n v="72000"/>
    <n v="1.39999999999999E-2"/>
    <d v="2026-02-01T00:00:00"/>
    <d v="2026-02-01T00:00:00"/>
    <s v="Month"/>
    <s v="Feb 2026"/>
    <s v="Feb 2026"/>
    <x v="4"/>
    <x v="2"/>
    <s v="4 - 1K-4.9K"/>
    <n v="0"/>
    <n v="1"/>
    <n v="3"/>
    <n v="1"/>
    <s v="News media"/>
    <s v="cheapism.com"/>
    <s v="https://www.cheapism.com/2026-layoffs-major-american-companies/"/>
  </r>
  <r>
    <n v="352"/>
    <s v="Salesforce"/>
    <x v="1"/>
    <x v="1"/>
    <x v="1"/>
    <n v="1"/>
    <n v="86"/>
    <n v="80000"/>
    <n v="1E-3"/>
    <d v="2026-06-09T00:00:00"/>
    <d v="2026-06-01T00:00:00"/>
    <s v="Day"/>
    <s v="Jun 2026"/>
    <s v="Jun 9"/>
    <x v="4"/>
    <x v="2"/>
    <s v="1 - &lt;100"/>
    <n v="0"/>
    <n v="2"/>
    <n v="3"/>
    <n v="1"/>
    <s v="News media"/>
    <s v="businessinsider.com"/>
    <s v="https://www.businessinsider.com/salesforce-cuts-jobs-agentforce-2026-6"/>
  </r>
  <r>
    <n v="353"/>
    <s v="Salesforce"/>
    <x v="1"/>
    <x v="1"/>
    <x v="0"/>
    <n v="0"/>
    <n v="74"/>
    <n v="80000"/>
    <n v="1E-3"/>
    <d v="2026-08-05T00:00:00"/>
    <d v="2026-08-01T00:00:00"/>
    <s v="Day"/>
    <s v="Aug 2026"/>
    <s v="Aug 5"/>
    <x v="4"/>
    <x v="2"/>
    <s v="1 - &lt;100"/>
    <n v="0"/>
    <n v="3"/>
    <n v="3"/>
    <n v="1"/>
    <s v="Government / WARN filing"/>
    <s v="californiawarn.com"/>
    <s v="https://californiawarn.com/companies/salesforce"/>
  </r>
  <r>
    <n v="354"/>
    <s v="Samsung Electronics America"/>
    <x v="6"/>
    <x v="0"/>
    <x v="0"/>
    <n v="0"/>
    <n v="839"/>
    <n v="10000"/>
    <n v="8.4000000000000005E-2"/>
    <d v="2026-07-20T00:00:00"/>
    <d v="2026-07-01T00:00:00"/>
    <s v="Day"/>
    <s v="Jul 2026"/>
    <s v="Jul 20"/>
    <x v="0"/>
    <x v="0"/>
    <s v="3 - 500-999"/>
    <n v="0"/>
    <n v="1"/>
    <n v="1"/>
    <n v="0"/>
    <s v="News media"/>
    <s v="tomshardware.com"/>
    <s v="https://www.tomshardware.com/tech-industry/samsung-cuts-hundreds-of-us-consumer-electronics-jobs-ahead-of-texas-hq-move"/>
  </r>
  <r>
    <n v="355"/>
    <s v="San Francisco Pretrial Diversion Project"/>
    <x v="2"/>
    <x v="0"/>
    <x v="0"/>
    <n v="0"/>
    <n v="82"/>
    <n v="105"/>
    <n v="0.78099999999999992"/>
    <d v="2026-07-30T00:00:00"/>
    <d v="2026-07-01T00:00:00"/>
    <s v="Day"/>
    <s v="Jul 2026"/>
    <s v="Jul 30"/>
    <x v="1"/>
    <x v="1"/>
    <s v="1 - &lt;100"/>
    <n v="0"/>
    <n v="1"/>
    <n v="1"/>
    <n v="0"/>
    <s v="News media"/>
    <s v="sfstandard.com"/>
    <s v="https://sfstandard.com/2026/06/12/sf-court-pretrial-diversion-metrics-sheriff/"/>
  </r>
  <r>
    <n v="356"/>
    <s v="Sanofi"/>
    <x v="0"/>
    <x v="0"/>
    <x v="4"/>
    <n v="0"/>
    <n v="229"/>
    <n v="82878"/>
    <n v="3.0000000000000001E-3"/>
    <d v="2026-08-17T00:00:00"/>
    <d v="2026-08-01T00:00:00"/>
    <s v="Day"/>
    <s v="Aug 2026"/>
    <s v="Aug 17"/>
    <x v="4"/>
    <x v="2"/>
    <s v="2 - 100-499"/>
    <n v="0"/>
    <n v="1"/>
    <n v="1"/>
    <n v="0"/>
    <s v="News media"/>
    <s v="fiercepharma.com"/>
    <s v="https://www.fiercepharma.com/pharma/sanofi-lay-229-blueprint-medicines-staff-close-cambridge-offices-following-acquisition"/>
  </r>
  <r>
    <n v="357"/>
    <s v="SentinelOne"/>
    <x v="1"/>
    <x v="1"/>
    <x v="1"/>
    <n v="1"/>
    <n v="240"/>
    <n v="3000"/>
    <n v="0.08"/>
    <d v="2026-05-29T00:00:00"/>
    <d v="2026-05-01T00:00:00"/>
    <s v="Day"/>
    <s v="May 2026"/>
    <s v="May 29"/>
    <x v="3"/>
    <x v="0"/>
    <s v="2 - 100-499"/>
    <n v="0"/>
    <n v="1"/>
    <n v="1"/>
    <n v="0"/>
    <s v="News media"/>
    <s v="techstartups.com"/>
    <s v="https://techstartups.com/2026/05/29/sentinelone-lays-off-8-of-workforce-as-ai-push-and-weak-guidance-send-shares-down-12/"/>
  </r>
  <r>
    <n v="358"/>
    <s v="ServiceNow"/>
    <x v="1"/>
    <x v="1"/>
    <x v="1"/>
    <n v="1"/>
    <n v="287"/>
    <n v="30000"/>
    <n v="0.01"/>
    <d v="2026-09-28T00:00:00"/>
    <d v="2026-09-01T00:00:00"/>
    <s v="Day"/>
    <s v="Sep 2026"/>
    <s v="Sep 28"/>
    <x v="0"/>
    <x v="2"/>
    <s v="2 - 100-499"/>
    <n v="0"/>
    <n v="1"/>
    <n v="1"/>
    <n v="0"/>
    <s v="News media"/>
    <s v="finance.yahoo.com"/>
    <s v="https://finance.yahoo.com/technology/articles/servicenow-cuts-nearly-300-jobs-100000472.html"/>
  </r>
  <r>
    <n v="359"/>
    <s v="Sharp HealthCare"/>
    <x v="0"/>
    <x v="0"/>
    <x v="0"/>
    <n v="0"/>
    <n v="260"/>
    <n v="22000"/>
    <n v="1.2E-2"/>
    <d v="2026-08-12T00:00:00"/>
    <d v="2026-08-01T00:00:00"/>
    <s v="Day"/>
    <s v="Aug 2026"/>
    <s v="Aug 12"/>
    <x v="0"/>
    <x v="2"/>
    <s v="2 - 100-499"/>
    <n v="0"/>
    <n v="1"/>
    <n v="1"/>
    <n v="0"/>
    <s v="News media"/>
    <s v="modernhealthcare.com"/>
    <s v="https://www.modernhealthcare.com/providers/staffing/mh-sharp-healthcare-layoffs-cuts/"/>
  </r>
  <r>
    <n v="360"/>
    <s v="Shell Catalyst &amp; Technologies"/>
    <x v="5"/>
    <x v="0"/>
    <x v="0"/>
    <n v="0"/>
    <n v="64"/>
    <n v="85000"/>
    <n v="1E-3"/>
    <d v="2026-09-09T00:00:00"/>
    <d v="2026-09-01T00:00:00"/>
    <s v="Day"/>
    <s v="Sep 2026"/>
    <s v="Sep 9"/>
    <x v="4"/>
    <x v="2"/>
    <s v="1 - &lt;100"/>
    <n v="0"/>
    <n v="1"/>
    <n v="1"/>
    <n v="0"/>
    <s v="Government / WARN filing"/>
    <s v="edd.ca.gov"/>
    <s v="https://edd.ca.gov/en/jobs_and_training/Layoff_Services_WARN/"/>
  </r>
  <r>
    <n v="361"/>
    <s v="Silgan Containers"/>
    <x v="5"/>
    <x v="0"/>
    <x v="3"/>
    <n v="0"/>
    <n v="120"/>
    <n v="17320"/>
    <n v="6.9999999999999004E-3"/>
    <d v="2026-08-12T00:00:00"/>
    <d v="2026-08-01T00:00:00"/>
    <s v="Day"/>
    <s v="Aug 2026"/>
    <s v="Aug 12"/>
    <x v="0"/>
    <x v="2"/>
    <s v="2 - 100-499"/>
    <n v="0"/>
    <n v="1"/>
    <n v="1"/>
    <n v="0"/>
    <s v="News media"/>
    <s v="packagingdive.com"/>
    <s v="https://www.packagingdive.com/news/packaging-layoffs-silgan-containers-smurfit-westrock/726001/"/>
  </r>
  <r>
    <n v="362"/>
    <s v="Skai"/>
    <x v="1"/>
    <x v="1"/>
    <x v="1"/>
    <n v="1"/>
    <n v="100"/>
    <n v="500"/>
    <n v="0.2"/>
    <d v="2026-06-03T00:00:00"/>
    <d v="2026-06-01T00:00:00"/>
    <s v="Day"/>
    <s v="Jun 2026"/>
    <s v="Jun 3"/>
    <x v="1"/>
    <x v="3"/>
    <s v="2 - 100-499"/>
    <n v="0"/>
    <n v="1"/>
    <n v="1"/>
    <n v="0"/>
    <s v="News media"/>
    <s v="calcalistech.com"/>
    <s v="https://www.calcalistech.com/ctechnews/article/jmjuqzfe6"/>
  </r>
  <r>
    <n v="363"/>
    <s v="Smokey Bones"/>
    <x v="7"/>
    <x v="0"/>
    <x v="4"/>
    <n v="0"/>
    <n v="500"/>
    <n v="500"/>
    <n v="1"/>
    <d v="2026-04-28T00:00:00"/>
    <d v="2026-04-01T00:00:00"/>
    <s v="Day"/>
    <s v="Apr 2026"/>
    <s v="Apr 28"/>
    <x v="1"/>
    <x v="4"/>
    <s v="3 - 500-999"/>
    <n v="1"/>
    <n v="1"/>
    <n v="1"/>
    <n v="0"/>
    <s v="News media"/>
    <s v="newsweek.com"/>
    <s v="https://www.newsweek.com/smokey-bones-chain-closes-all-restaurants-nationwide-11897570"/>
  </r>
  <r>
    <n v="364"/>
    <s v="Snap"/>
    <x v="8"/>
    <x v="0"/>
    <x v="1"/>
    <n v="1"/>
    <n v="1000"/>
    <n v="5261"/>
    <n v="0.19"/>
    <d v="2026-04-15T00:00:00"/>
    <d v="2026-04-01T00:00:00"/>
    <s v="Day"/>
    <s v="Apr 2026"/>
    <s v="Apr 15"/>
    <x v="3"/>
    <x v="3"/>
    <s v="4 - 1K-4.9K"/>
    <n v="0"/>
    <n v="1"/>
    <n v="1"/>
    <n v="0"/>
    <s v="News media"/>
    <s v="deadline.com"/>
    <s v="https://deadline.com/2026/04/snap-layoffs-ceo-evan-spiegel-ai-1236861335/"/>
  </r>
  <r>
    <n v="365"/>
    <s v="Snowflake"/>
    <x v="1"/>
    <x v="1"/>
    <x v="1"/>
    <n v="1"/>
    <n v="70"/>
    <n v="8000"/>
    <n v="8.9999999999999993E-3"/>
    <d v="2026-03-21T00:00:00"/>
    <d v="2026-03-01T00:00:00"/>
    <s v="Day"/>
    <s v="Mar 2026"/>
    <s v="Mar 21"/>
    <x v="3"/>
    <x v="2"/>
    <s v="1 - &lt;100"/>
    <n v="0"/>
    <n v="1"/>
    <n v="1"/>
    <n v="0"/>
    <s v="News media"/>
    <s v="newsbytesapp.com"/>
    <s v="https://www.newsbytesapp.com/news/business/snowflake-cuts-jobs-after-200-million-openai-partnership/tldr"/>
  </r>
  <r>
    <n v="366"/>
    <s v="Snyk"/>
    <x v="1"/>
    <x v="1"/>
    <x v="1"/>
    <n v="1"/>
    <n v="90"/>
    <n v="1550"/>
    <n v="5.7999999999999899E-2"/>
    <d v="2026-06-24T00:00:00"/>
    <d v="2026-06-01T00:00:00"/>
    <s v="Day"/>
    <s v="Jun 2026"/>
    <s v="Jun 24"/>
    <x v="3"/>
    <x v="0"/>
    <s v="1 - &lt;100"/>
    <n v="0"/>
    <n v="1"/>
    <n v="1"/>
    <n v="0"/>
    <s v="News media"/>
    <s v="en.globes.co.il"/>
    <s v="https://en.globes.co.il/en/article-snyk-to-lay-off-90-employees-1001546903"/>
  </r>
  <r>
    <n v="367"/>
    <s v="Sodexo"/>
    <x v="7"/>
    <x v="0"/>
    <x v="0"/>
    <n v="0"/>
    <n v="296"/>
    <n v="426464"/>
    <n v="1E-3"/>
    <d v="2026-05-25T00:00:00"/>
    <d v="2026-05-01T00:00:00"/>
    <s v="Day"/>
    <s v="May 2026"/>
    <s v="May 25"/>
    <x v="2"/>
    <x v="2"/>
    <s v="2 - 100-499"/>
    <n v="0"/>
    <n v="1"/>
    <n v="5"/>
    <n v="1"/>
    <s v="News media"/>
    <s v="fiercehealthcare.com"/>
    <s v="https://www.fiercehealthcare.com/finance/fierce-healthcare-layoff-tracker-2026-job-cuts-eliminations-health-systems-hospitals"/>
  </r>
  <r>
    <n v="368"/>
    <s v="Sodexo"/>
    <x v="7"/>
    <x v="0"/>
    <x v="0"/>
    <n v="0"/>
    <n v="164"/>
    <n v="426464"/>
    <n v="0"/>
    <d v="2026-07-24T00:00:00"/>
    <d v="2026-07-01T00:00:00"/>
    <s v="Day"/>
    <s v="Jul 2026"/>
    <s v="Jul 24"/>
    <x v="2"/>
    <x v="2"/>
    <s v="2 - 100-499"/>
    <n v="0"/>
    <n v="2"/>
    <n v="5"/>
    <n v="1"/>
    <s v="Government / WARN filing"/>
    <s v="edd.ca.gov"/>
    <s v="https://edd.ca.gov/en/jobs_and_training/Layoff_Services_WARN"/>
  </r>
  <r>
    <n v="369"/>
    <s v="Sodexo"/>
    <x v="7"/>
    <x v="0"/>
    <x v="0"/>
    <n v="0"/>
    <n v="93"/>
    <n v="426464"/>
    <n v="0"/>
    <d v="2026-08-17T00:00:00"/>
    <d v="2026-08-01T00:00:00"/>
    <s v="Day"/>
    <s v="Aug 2026"/>
    <s v="Aug 17"/>
    <x v="2"/>
    <x v="2"/>
    <s v="1 - &lt;100"/>
    <n v="0"/>
    <n v="3"/>
    <n v="5"/>
    <n v="1"/>
    <s v="Government / WARN filing"/>
    <s v="edd.ca.gov"/>
    <s v="https://edd.ca.gov/en/jobs_and_training/Layoff_Services_WARN"/>
  </r>
  <r>
    <n v="370"/>
    <s v="Sodexo"/>
    <x v="7"/>
    <x v="0"/>
    <x v="0"/>
    <n v="0"/>
    <n v="1000"/>
    <n v="426464"/>
    <n v="2E-3"/>
    <d v="2026-08-26T00:00:00"/>
    <d v="2026-08-01T00:00:00"/>
    <s v="Day"/>
    <s v="Aug 2026"/>
    <s v="Aug 26"/>
    <x v="2"/>
    <x v="2"/>
    <s v="4 - 1K-4.9K"/>
    <n v="0"/>
    <n v="4"/>
    <n v="5"/>
    <n v="1"/>
    <s v="News media"/>
    <s v="live.euronext.com"/>
    <s v="https://live.euronext.com/en/financial-news/sodexo-plans-cut-more-1000-jobs-france"/>
  </r>
  <r>
    <n v="371"/>
    <s v="Sodexo"/>
    <x v="7"/>
    <x v="0"/>
    <x v="0"/>
    <n v="0"/>
    <n v="66"/>
    <n v="426464"/>
    <n v="0"/>
    <d v="2026-09-27T00:00:00"/>
    <d v="2026-09-01T00:00:00"/>
    <s v="Day"/>
    <s v="Sep 2026"/>
    <s v="Sep 27"/>
    <x v="2"/>
    <x v="2"/>
    <s v="1 - &lt;100"/>
    <n v="0"/>
    <n v="5"/>
    <n v="5"/>
    <n v="1"/>
    <s v="News media"/>
    <s v="wyso.org"/>
    <s v="https://www.wyso.org/news/2026-09-27/two-southwest-ohio-companies-announce-layoffs-of-more-than-200-workers"/>
  </r>
  <r>
    <n v="372"/>
    <s v="Sonos"/>
    <x v="1"/>
    <x v="1"/>
    <x v="0"/>
    <n v="0"/>
    <n v="55"/>
    <n v="1840"/>
    <n v="0.03"/>
    <d v="2026-06-25T00:00:00"/>
    <d v="2026-06-01T00:00:00"/>
    <s v="Day"/>
    <s v="Jun 2026"/>
    <s v="Jun 25"/>
    <x v="3"/>
    <x v="2"/>
    <s v="1 - &lt;100"/>
    <n v="0"/>
    <n v="1"/>
    <n v="1"/>
    <n v="0"/>
    <s v="News media"/>
    <s v="bloomberg.com"/>
    <s v="https://www.bloomberg.com/news/articles/2026-06-25/sonos-cuts-3-of-staff-across-user-experience-product-teams"/>
  </r>
  <r>
    <n v="373"/>
    <s v="Sony Pictures"/>
    <x v="8"/>
    <x v="0"/>
    <x v="0"/>
    <n v="0"/>
    <n v="200"/>
    <n v="12000"/>
    <n v="1.7000000000000001E-2"/>
    <d v="2026-04-07T00:00:00"/>
    <d v="2026-04-01T00:00:00"/>
    <s v="Day"/>
    <s v="Apr 2026"/>
    <s v="Apr 7"/>
    <x v="0"/>
    <x v="2"/>
    <s v="2 - 100-499"/>
    <n v="0"/>
    <n v="1"/>
    <n v="1"/>
    <n v="0"/>
    <s v="News media"/>
    <s v="deadline.com"/>
    <s v="https://deadline.com/2026/04/sony-pictures-layoffs-refocus-on-growth-1236782963/"/>
  </r>
  <r>
    <n v="374"/>
    <s v="Southern Cross Media"/>
    <x v="8"/>
    <x v="0"/>
    <x v="1"/>
    <n v="1"/>
    <n v="200"/>
    <n v="6659"/>
    <n v="0.03"/>
    <d v="2026-06-10T00:00:00"/>
    <d v="2026-06-01T00:00:00"/>
    <s v="Day"/>
    <s v="Jun 2026"/>
    <s v="Jun 10"/>
    <x v="3"/>
    <x v="2"/>
    <s v="2 - 100-499"/>
    <n v="0"/>
    <n v="1"/>
    <n v="1"/>
    <n v="0"/>
    <s v="News media"/>
    <s v="mediaweek.com.au"/>
    <s v="https://www.mediaweek.com.au/southern-cross-media-rohan-lund-ai-redundancies/"/>
  </r>
  <r>
    <n v="375"/>
    <s v="Spirit Airlines"/>
    <x v="4"/>
    <x v="0"/>
    <x v="3"/>
    <n v="0"/>
    <n v="14000"/>
    <n v="14000"/>
    <n v="1"/>
    <d v="2026-05-02T00:00:00"/>
    <d v="2026-05-01T00:00:00"/>
    <s v="Day"/>
    <s v="May 2026"/>
    <s v="May 2"/>
    <x v="0"/>
    <x v="4"/>
    <s v="5 - 5K+"/>
    <n v="1"/>
    <n v="1"/>
    <n v="1"/>
    <n v="0"/>
    <s v="News media"/>
    <s v="cnn.com"/>
    <s v="https://www.cnn.com/2026/05/02/business/spirit-to-halt-all-flights"/>
  </r>
  <r>
    <n v="376"/>
    <s v="Sprout Social"/>
    <x v="1"/>
    <x v="1"/>
    <x v="1"/>
    <n v="1"/>
    <n v="260"/>
    <n v="1362"/>
    <n v="0.191"/>
    <d v="2026-07-15T00:00:00"/>
    <d v="2026-07-01T00:00:00"/>
    <s v="Day"/>
    <s v="Jul 2026"/>
    <s v="Jul 15"/>
    <x v="3"/>
    <x v="3"/>
    <s v="2 - 100-499"/>
    <n v="0"/>
    <n v="1"/>
    <n v="1"/>
    <n v="0"/>
    <s v="Company filing (SEC)"/>
    <s v="sec.gov"/>
    <s v="https://www.sec.gov/Archives/edgar/data/0001517375/000151737526000052/spt-20260715.htm"/>
  </r>
  <r>
    <n v="377"/>
    <s v="Standard Chartered"/>
    <x v="3"/>
    <x v="0"/>
    <x v="1"/>
    <n v="1"/>
    <n v="7800"/>
    <n v="83000"/>
    <n v="9.4E-2"/>
    <d v="2026-05-19T00:00:00"/>
    <d v="2026-05-01T00:00:00"/>
    <s v="Day"/>
    <s v="May 2026"/>
    <s v="May 19"/>
    <x v="4"/>
    <x v="0"/>
    <s v="5 - 5K+"/>
    <n v="0"/>
    <n v="1"/>
    <n v="1"/>
    <n v="0"/>
    <s v="News media"/>
    <s v="business-standard.com"/>
    <s v="https://www.business-standard.com/world-news/stanchart-planning-to-lay-off-thousands-of-support-staff-amid-ai-push-126051900112_1.html"/>
  </r>
  <r>
    <n v="378"/>
    <s v="Stanford Health Care"/>
    <x v="0"/>
    <x v="0"/>
    <x v="0"/>
    <n v="0"/>
    <n v="95"/>
    <n v="15278"/>
    <n v="6.0000000000000001E-3"/>
    <d v="2026-08-28T00:00:00"/>
    <d v="2026-08-01T00:00:00"/>
    <s v="Day"/>
    <s v="Aug 2026"/>
    <s v="Aug 28"/>
    <x v="0"/>
    <x v="2"/>
    <s v="1 - &lt;100"/>
    <n v="0"/>
    <n v="1"/>
    <n v="1"/>
    <n v="0"/>
    <s v="Government / WARN filing"/>
    <s v="edd.ca.gov"/>
    <s v="https://edd.ca.gov/en/jobs_and_training/Layoff_Services_WARN/"/>
  </r>
  <r>
    <n v="379"/>
    <s v="Stanley Black &amp; Decker"/>
    <x v="5"/>
    <x v="0"/>
    <x v="3"/>
    <n v="0"/>
    <n v="300"/>
    <n v="60000"/>
    <n v="5.0000000000000001E-3"/>
    <d v="2026-02-26T00:00:00"/>
    <d v="2026-02-01T00:00:00"/>
    <s v="Day"/>
    <s v="Feb 2026"/>
    <s v="Feb 26"/>
    <x v="4"/>
    <x v="2"/>
    <s v="2 - 100-499"/>
    <n v="0"/>
    <n v="1"/>
    <n v="1"/>
    <n v="0"/>
    <s v="News media"/>
    <s v="foxbusiness.com"/>
    <s v="https://www.foxbusiness.com/markets/stanley-black-decker-cut-hundreds-jobs-shut-connecticut-plant"/>
  </r>
  <r>
    <n v="380"/>
    <s v="Staples"/>
    <x v="7"/>
    <x v="0"/>
    <x v="0"/>
    <n v="0"/>
    <n v="109"/>
    <n v="12000"/>
    <n v="8.9999999999999993E-3"/>
    <d v="2026-08-05T00:00:00"/>
    <d v="2026-08-01T00:00:00"/>
    <s v="Day"/>
    <s v="Aug 2026"/>
    <s v="Aug 5"/>
    <x v="0"/>
    <x v="2"/>
    <s v="2 - 100-499"/>
    <n v="0"/>
    <n v="1"/>
    <n v="1"/>
    <n v="0"/>
    <s v="News media"/>
    <s v="finance.yahoo.com"/>
    <s v="https://finance.yahoo.com/economy/articles/fedex-others-announce-layoffs-southern-100000850.html"/>
  </r>
  <r>
    <n v="381"/>
    <s v="Star Tribune"/>
    <x v="8"/>
    <x v="0"/>
    <x v="0"/>
    <n v="0"/>
    <n v="65"/>
    <n v="495"/>
    <n v="0.13100000000000001"/>
    <d v="2026-06-03T00:00:00"/>
    <d v="2026-06-01T00:00:00"/>
    <s v="Day"/>
    <s v="Jun 2026"/>
    <s v="Jun 3"/>
    <x v="1"/>
    <x v="3"/>
    <s v="1 - &lt;100"/>
    <n v="0"/>
    <n v="1"/>
    <n v="1"/>
    <n v="0"/>
    <s v="News media"/>
    <s v="racketmn.com"/>
    <s v="https://racketmn.com/read-star-tribune-publisher-steve-groves-leaked-memo-announcing-dramatic-job-cuts-updated-vision"/>
  </r>
  <r>
    <n v="382"/>
    <s v="Starbucks"/>
    <x v="6"/>
    <x v="0"/>
    <x v="0"/>
    <n v="0"/>
    <n v="61"/>
    <n v="16000"/>
    <n v="4.0000000000000001E-3"/>
    <d v="2026-05-11T00:00:00"/>
    <d v="2026-05-01T00:00:00"/>
    <s v="Day"/>
    <s v="May 2026"/>
    <s v="May 11"/>
    <x v="0"/>
    <x v="2"/>
    <s v="1 - &lt;100"/>
    <n v="0"/>
    <n v="1"/>
    <n v="3"/>
    <n v="1"/>
    <s v="News media"/>
    <s v="geekwire.com"/>
    <s v="https://www.geekwire.com/2026/starbucks-to-cut-61-tech-jobs-at-seattle-hq-in-department-reorganization/"/>
  </r>
  <r>
    <n v="383"/>
    <s v="Starbucks"/>
    <x v="6"/>
    <x v="0"/>
    <x v="0"/>
    <n v="0"/>
    <n v="300"/>
    <n v="16000"/>
    <n v="1.9E-2"/>
    <d v="2026-05-15T00:00:00"/>
    <d v="2026-05-01T00:00:00"/>
    <s v="Day"/>
    <s v="May 2026"/>
    <s v="May 15"/>
    <x v="0"/>
    <x v="2"/>
    <s v="2 - 100-499"/>
    <n v="0"/>
    <n v="2"/>
    <n v="3"/>
    <n v="1"/>
    <s v="News media"/>
    <s v="cnbc.com"/>
    <s v="https://www.cnbc.com/2026/05/15/starbucks-to-lay-off-300-us-employees-close-some-regional-offices.html"/>
  </r>
  <r>
    <n v="384"/>
    <s v="Starbucks"/>
    <x v="6"/>
    <x v="0"/>
    <x v="0"/>
    <n v="0"/>
    <n v="224"/>
    <n v="16000"/>
    <n v="1.39999999999999E-2"/>
    <d v="2026-08-20T00:00:00"/>
    <d v="2026-08-01T00:00:00"/>
    <s v="Day"/>
    <s v="Aug 2026"/>
    <s v="Aug 20"/>
    <x v="0"/>
    <x v="2"/>
    <s v="2 - 100-499"/>
    <n v="0"/>
    <n v="3"/>
    <n v="3"/>
    <n v="1"/>
    <s v="News media"/>
    <s v="komonews.com"/>
    <s v="https://komonews.com/news/local/starbucks-files-another-layoff-notice-for-seattle-hq-200-jobs-affected-coffee-company-employment-economy-nashville-corporate-organization-restructuring-store-tourism-travel-employee"/>
  </r>
  <r>
    <n v="385"/>
    <s v="Starling Bank"/>
    <x v="3"/>
    <x v="0"/>
    <x v="1"/>
    <n v="1"/>
    <n v="130"/>
    <n v="4000"/>
    <n v="3.2000000000000001E-2"/>
    <d v="2026-07-08T00:00:00"/>
    <d v="2026-07-01T00:00:00"/>
    <s v="Day"/>
    <s v="Jul 2026"/>
    <s v="Jul 8"/>
    <x v="3"/>
    <x v="2"/>
    <s v="2 - 100-499"/>
    <n v="0"/>
    <n v="1"/>
    <n v="1"/>
    <n v="0"/>
    <s v="News media"/>
    <s v="bankingdive.com"/>
    <s v="https://www.bankingdive.com/news/starling-to-whittle-headcount-by-3/824729/"/>
  </r>
  <r>
    <n v="386"/>
    <s v="Stelco (Cleveland-Cliffs)"/>
    <x v="5"/>
    <x v="0"/>
    <x v="0"/>
    <n v="0"/>
    <n v="350"/>
    <n v="25000"/>
    <n v="1.39999999999999E-2"/>
    <d v="2026-09-28T00:00:00"/>
    <d v="2026-09-01T00:00:00"/>
    <s v="Day"/>
    <s v="Sep 2026"/>
    <s v="Sep 28"/>
    <x v="0"/>
    <x v="2"/>
    <s v="2 - 100-499"/>
    <n v="0"/>
    <n v="1"/>
    <n v="1"/>
    <n v="0"/>
    <s v="News media"/>
    <s v="bnnbloomberg.ca"/>
    <s v="https://www.bnnbloomberg.ca/business/company-news/2026/09/29/stelco-to-lay-off-350-steelworkers-at-hamilton-plant-union-says/"/>
  </r>
  <r>
    <n v="387"/>
    <s v="Stoelzle Glass USA"/>
    <x v="5"/>
    <x v="0"/>
    <x v="0"/>
    <n v="0"/>
    <n v="200"/>
    <n v="360"/>
    <n v="0.55600000000000005"/>
    <d v="2026-09-04T00:00:00"/>
    <d v="2026-09-01T00:00:00"/>
    <s v="Day"/>
    <s v="Sep 2026"/>
    <s v="Sep 4"/>
    <x v="1"/>
    <x v="1"/>
    <s v="2 - 100-499"/>
    <n v="0"/>
    <n v="1"/>
    <n v="1"/>
    <n v="0"/>
    <s v="News media"/>
    <s v="beavercountyradio.com"/>
    <s v="https://beavercountyradio.com/news/temporary-layoffs-occur-at-monaca-glass-plant-during-100-million-renovation/"/>
  </r>
  <r>
    <n v="388"/>
    <s v="Stone Brewing"/>
    <x v="6"/>
    <x v="0"/>
    <x v="0"/>
    <n v="0"/>
    <n v="220"/>
    <n v="787"/>
    <n v="0.28000000000000003"/>
    <d v="2026-08-19T00:00:00"/>
    <d v="2026-08-01T00:00:00"/>
    <s v="Day"/>
    <s v="Aug 2026"/>
    <s v="Aug 19"/>
    <x v="1"/>
    <x v="1"/>
    <s v="2 - 100-499"/>
    <n v="0"/>
    <n v="1"/>
    <n v="1"/>
    <n v="0"/>
    <s v="News media"/>
    <s v="foxbusiness.com"/>
    <s v="https://www.foxbusiness.com/lifestyle/stone-brewing-escondido-layoffs-production-shift"/>
  </r>
  <r>
    <n v="389"/>
    <s v="Streamland Media"/>
    <x v="8"/>
    <x v="0"/>
    <x v="3"/>
    <n v="0"/>
    <n v="71"/>
    <n v="1500"/>
    <n v="4.7E-2"/>
    <d v="2026-05-06T00:00:00"/>
    <d v="2026-05-01T00:00:00"/>
    <s v="Day"/>
    <s v="May 2026"/>
    <s v="May 6"/>
    <x v="3"/>
    <x v="2"/>
    <s v="1 - &lt;100"/>
    <n v="0"/>
    <n v="1"/>
    <n v="1"/>
    <n v="0"/>
    <s v="Government / WARN filing"/>
    <s v="warntracker.com"/>
    <s v="https://www.warntracker.com/company/streamland-media"/>
  </r>
  <r>
    <n v="390"/>
    <s v="Sumitomo Mitsui Banking"/>
    <x v="3"/>
    <x v="0"/>
    <x v="0"/>
    <n v="0"/>
    <n v="75"/>
    <n v="123000"/>
    <n v="1E-3"/>
    <d v="2026-10-02T00:00:00"/>
    <d v="2026-10-01T00:00:00"/>
    <s v="Day"/>
    <s v="Oct 2026"/>
    <s v="Oct 2"/>
    <x v="2"/>
    <x v="2"/>
    <s v="1 - &lt;100"/>
    <n v="0"/>
    <n v="1"/>
    <n v="1"/>
    <n v="0"/>
    <s v="News media"/>
    <s v="yahoo.com"/>
    <s v="https://www.yahoo.com/news/us/articles/global-banking-firm-trims-75-181044301.html"/>
  </r>
  <r>
    <n v="391"/>
    <s v="Sunrise"/>
    <x v="10"/>
    <x v="1"/>
    <x v="0"/>
    <n v="0"/>
    <n v="450"/>
    <n v="2900"/>
    <n v="0.155"/>
    <d v="2026-09-21T00:00:00"/>
    <d v="2026-09-01T00:00:00"/>
    <s v="Day"/>
    <s v="Sep 2026"/>
    <s v="Sep 21"/>
    <x v="3"/>
    <x v="3"/>
    <s v="2 - 100-499"/>
    <n v="0"/>
    <n v="1"/>
    <n v="1"/>
    <n v="0"/>
    <s v="News media"/>
    <s v="swissinfo.ch"/>
    <s v="https://www.swissinfo.ch/eng/workplace/sunrise-is-reviewing-its-operating-model-and-considering-the-loss-of-up-to-450-jobs/92093311"/>
  </r>
  <r>
    <n v="392"/>
    <s v="Supermassive Games"/>
    <x v="1"/>
    <x v="1"/>
    <x v="2"/>
    <n v="0"/>
    <n v="75"/>
    <n v="172"/>
    <n v="0.436"/>
    <d v="2026-08-11T00:00:00"/>
    <d v="2026-08-01T00:00:00"/>
    <s v="Day"/>
    <s v="Aug 2026"/>
    <s v="Aug 11"/>
    <x v="1"/>
    <x v="1"/>
    <s v="1 - &lt;100"/>
    <n v="0"/>
    <n v="1"/>
    <n v="1"/>
    <n v="0"/>
    <s v="News media"/>
    <s v="engadget.com"/>
    <s v="https://www.engadget.com/2234632/supermassive-games-will-lay-off-up-to-75-employees/"/>
  </r>
  <r>
    <n v="393"/>
    <s v="Superside"/>
    <x v="1"/>
    <x v="1"/>
    <x v="0"/>
    <n v="0"/>
    <n v="60"/>
    <n v="700"/>
    <n v="8.5999999999999993E-2"/>
    <d v="2026-03-05T00:00:00"/>
    <d v="2026-03-01T00:00:00"/>
    <s v="Day"/>
    <s v="Mar 2026"/>
    <s v="Mar 5"/>
    <x v="1"/>
    <x v="0"/>
    <s v="1 - &lt;100"/>
    <n v="0"/>
    <n v="1"/>
    <n v="1"/>
    <n v="0"/>
    <s v="News media"/>
    <s v="trueup.io"/>
    <s v="https://www.trueup.io/layoffs"/>
  </r>
  <r>
    <n v="394"/>
    <s v="Swiss Life"/>
    <x v="3"/>
    <x v="0"/>
    <x v="2"/>
    <n v="0"/>
    <n v="600"/>
    <n v="12313"/>
    <n v="4.9000000000000002E-2"/>
    <d v="2026-09-01T00:00:00"/>
    <d v="2026-09-01T00:00:00"/>
    <s v="Day"/>
    <s v="Sep 2026"/>
    <s v="Sep 1"/>
    <x v="0"/>
    <x v="2"/>
    <s v="3 - 500-999"/>
    <n v="0"/>
    <n v="1"/>
    <n v="1"/>
    <n v="0"/>
    <s v="News media"/>
    <s v="lifeinsuranceinternational.com"/>
    <s v="https://www.lifeinsuranceinternational.com/news/swiss-life-plans-600-job-cuts/"/>
  </r>
  <r>
    <n v="395"/>
    <s v="Synopsys"/>
    <x v="1"/>
    <x v="1"/>
    <x v="4"/>
    <n v="0"/>
    <n v="128"/>
    <n v="28000"/>
    <n v="5.0000000000000001E-3"/>
    <d v="2026-08-31T00:00:00"/>
    <d v="2026-08-01T00:00:00"/>
    <s v="Day"/>
    <s v="Aug 2026"/>
    <s v="Aug 31"/>
    <x v="0"/>
    <x v="2"/>
    <s v="2 - 100-499"/>
    <n v="0"/>
    <n v="1"/>
    <n v="1"/>
    <n v="0"/>
    <s v="Government / WARN filing"/>
    <s v="edd.ca.gov"/>
    <s v="https://edd.ca.gov/en/jobs_and_training/Layoff_Services_WARN/"/>
  </r>
  <r>
    <n v="396"/>
    <s v="T-Mobile"/>
    <x v="10"/>
    <x v="1"/>
    <x v="0"/>
    <n v="0"/>
    <n v="77"/>
    <n v="75000"/>
    <n v="1E-3"/>
    <d v="2026-08-26T00:00:00"/>
    <d v="2026-08-01T00:00:00"/>
    <s v="Day"/>
    <s v="Aug 2026"/>
    <s v="Aug 26"/>
    <x v="4"/>
    <x v="2"/>
    <s v="1 - &lt;100"/>
    <n v="0"/>
    <n v="1"/>
    <n v="1"/>
    <n v="0"/>
    <s v="News media"/>
    <s v="komonews.com"/>
    <s v="https://komonews.com/news/local/t-mobile-closing-stores-in-washington-state-layoff-staff-at-headquarters-office-in-factoria-bellevue-remote-employee-employment-security-department-esd"/>
  </r>
  <r>
    <n v="397"/>
    <s v="TScan Therapeutics"/>
    <x v="0"/>
    <x v="0"/>
    <x v="0"/>
    <n v="0"/>
    <n v="104"/>
    <n v="138"/>
    <n v="0.754"/>
    <d v="2026-09-02T00:00:00"/>
    <d v="2026-09-01T00:00:00"/>
    <s v="Day"/>
    <s v="Sep 2026"/>
    <s v="Sep 2"/>
    <x v="1"/>
    <x v="1"/>
    <s v="2 - 100-499"/>
    <n v="0"/>
    <n v="1"/>
    <n v="1"/>
    <n v="0"/>
    <s v="News media"/>
    <s v="biospace.com"/>
    <s v="https://www.biospace.com/job-trends/tscan-cuts-75-of-workforce-while-shifting-focus-to-solid-tumor-program"/>
  </r>
  <r>
    <n v="398"/>
    <s v="Takeda"/>
    <x v="0"/>
    <x v="0"/>
    <x v="2"/>
    <n v="0"/>
    <n v="4500"/>
    <n v="49000"/>
    <n v="9.1999999999999998E-2"/>
    <d v="2026-05-13T00:00:00"/>
    <d v="2026-05-01T00:00:00"/>
    <s v="Day"/>
    <s v="May 2026"/>
    <s v="May 13"/>
    <x v="0"/>
    <x v="0"/>
    <s v="4 - 1K-4.9K"/>
    <n v="0"/>
    <n v="1"/>
    <n v="1"/>
    <n v="0"/>
    <s v="News media"/>
    <s v="fiercepharma.com"/>
    <s v="https://www.fiercepharma.com/pharma/takeda-slimming-down-new-era-plots-4500-layoffs-latest-restructuring-drive"/>
  </r>
  <r>
    <n v="399"/>
    <s v="Target"/>
    <x v="7"/>
    <x v="0"/>
    <x v="0"/>
    <n v="0"/>
    <n v="500"/>
    <n v="400000"/>
    <n v="1E-3"/>
    <d v="2026-01-01T00:00:00"/>
    <d v="2026-01-01T00:00:00"/>
    <s v="Month"/>
    <s v="Jan 2026"/>
    <s v="Jan 2026"/>
    <x v="2"/>
    <x v="2"/>
    <s v="3 - 500-999"/>
    <n v="0"/>
    <n v="1"/>
    <n v="1"/>
    <n v="0"/>
    <s v="News media"/>
    <s v="finance.yahoo.com"/>
    <s v="https://finance.yahoo.com/news/layoffs-surge-2026-10-major-174540901.html"/>
  </r>
  <r>
    <n v="400"/>
    <s v="Telefonica"/>
    <x v="10"/>
    <x v="1"/>
    <x v="0"/>
    <n v="0"/>
    <n v="6000"/>
    <n v="100000"/>
    <n v="0.06"/>
    <m/>
    <m/>
    <s v="Year"/>
    <s v="2026 (no month)"/>
    <s v="2026"/>
    <x v="2"/>
    <x v="0"/>
    <s v="5 - 5K+"/>
    <n v="0"/>
    <n v="1"/>
    <n v="1"/>
    <n v="0"/>
    <s v="News media"/>
    <s v="intellizence.com"/>
    <s v="https://intellizence.com/insights/layoff-downsizing/major-companies-that-announced-mass-layoffs/"/>
  </r>
  <r>
    <n v="401"/>
    <s v="Tessera Therapeutics"/>
    <x v="0"/>
    <x v="0"/>
    <x v="0"/>
    <n v="0"/>
    <n v="90"/>
    <n v="250"/>
    <n v="0.36"/>
    <d v="2026-03-08T00:00:00"/>
    <d v="2026-03-01T00:00:00"/>
    <s v="Day"/>
    <s v="Mar 2026"/>
    <s v="Mar 8"/>
    <x v="1"/>
    <x v="1"/>
    <s v="1 - &lt;100"/>
    <n v="0"/>
    <n v="1"/>
    <n v="1"/>
    <n v="0"/>
    <s v="News media"/>
    <s v="fiercebiotech.com"/>
    <s v="https://www.fiercebiotech.com/biotech/fierce-biotech-layoff-tracker-2026"/>
  </r>
  <r>
    <n v="402"/>
    <s v="Teva"/>
    <x v="0"/>
    <x v="0"/>
    <x v="0"/>
    <n v="0"/>
    <n v="250"/>
    <n v="37000"/>
    <n v="6.9999999999999004E-3"/>
    <d v="2026-06-10T00:00:00"/>
    <d v="2026-06-01T00:00:00"/>
    <s v="Day"/>
    <s v="Jun 2026"/>
    <s v="Jun 10"/>
    <x v="0"/>
    <x v="2"/>
    <s v="2 - 100-499"/>
    <n v="0"/>
    <n v="1"/>
    <n v="1"/>
    <n v="0"/>
    <s v="News media"/>
    <s v="en.globes.co.il"/>
    <s v="https://en.globes.co.il/en/article-teva-to-lay-off-250-in-api-division-in-israel-1001545492"/>
  </r>
  <r>
    <n v="403"/>
    <s v="Texas Family Initiative"/>
    <x v="0"/>
    <x v="0"/>
    <x v="3"/>
    <n v="0"/>
    <n v="307"/>
    <n v="1600"/>
    <n v="0.192"/>
    <d v="2026-09-08T00:00:00"/>
    <d v="2026-09-01T00:00:00"/>
    <s v="Day"/>
    <s v="Sep 2026"/>
    <s v="Sep 8"/>
    <x v="3"/>
    <x v="3"/>
    <s v="2 - 100-499"/>
    <n v="0"/>
    <n v="1"/>
    <n v="1"/>
    <n v="0"/>
    <s v="Government / WARN filing"/>
    <s v="twc.texas.gov"/>
    <s v="https://www.twc.texas.gov/data-reports/warn-notice"/>
  </r>
  <r>
    <n v="404"/>
    <s v="The Bancorp"/>
    <x v="3"/>
    <x v="0"/>
    <x v="0"/>
    <n v="0"/>
    <n v="64"/>
    <n v="733"/>
    <n v="8.6999999999999994E-2"/>
    <d v="2026-09-04T00:00:00"/>
    <d v="2026-09-01T00:00:00"/>
    <s v="Day"/>
    <s v="Sep 2026"/>
    <s v="Sep 4"/>
    <x v="1"/>
    <x v="0"/>
    <s v="1 - &lt;100"/>
    <n v="0"/>
    <n v="1"/>
    <n v="1"/>
    <n v="0"/>
    <s v="Company filing (SEC)"/>
    <s v="sec.gov"/>
    <s v="https://www.sec.gov/Archives/edgar/data/1295401/000203985226000121/ex99-1.htm"/>
  </r>
  <r>
    <n v="405"/>
    <s v="The Original Factory Shop"/>
    <x v="7"/>
    <x v="0"/>
    <x v="0"/>
    <n v="0"/>
    <n v="1180"/>
    <n v="1180"/>
    <n v="1"/>
    <d v="2026-01-28T00:00:00"/>
    <d v="2026-01-01T00:00:00"/>
    <s v="Day"/>
    <s v="Jan 2026"/>
    <s v="Jan 28"/>
    <x v="3"/>
    <x v="4"/>
    <s v="4 - 1K-4.9K"/>
    <n v="1"/>
    <n v="1"/>
    <n v="1"/>
    <n v="0"/>
    <s v="News media"/>
    <s v="finance.yahoo.com"/>
    <s v="https://finance.yahoo.com/news/original-factory-shop-collapses-administration-094200597.html"/>
  </r>
  <r>
    <n v="406"/>
    <s v="The Trade Desk"/>
    <x v="1"/>
    <x v="1"/>
    <x v="0"/>
    <n v="0"/>
    <n v="575"/>
    <n v="3843"/>
    <n v="0.15"/>
    <d v="2026-09-03T00:00:00"/>
    <d v="2026-09-01T00:00:00"/>
    <s v="Day"/>
    <s v="Sep 2026"/>
    <s v="Sep 3"/>
    <x v="3"/>
    <x v="3"/>
    <s v="3 - 500-999"/>
    <n v="0"/>
    <n v="1"/>
    <n v="1"/>
    <n v="0"/>
    <s v="News media"/>
    <s v="ppc.land"/>
    <s v="https://ppc.land/trade-desk-cuts-15-of-its-global-workforce-effective-today/"/>
  </r>
  <r>
    <n v="407"/>
    <s v="Theravance Biopharma"/>
    <x v="0"/>
    <x v="0"/>
    <x v="0"/>
    <n v="0"/>
    <n v="200"/>
    <n v="400"/>
    <n v="0.5"/>
    <d v="2026-03-03T00:00:00"/>
    <d v="2026-03-01T00:00:00"/>
    <s v="Day"/>
    <s v="Mar 2026"/>
    <s v="Mar 3"/>
    <x v="1"/>
    <x v="1"/>
    <s v="2 - 100-499"/>
    <n v="0"/>
    <n v="1"/>
    <n v="1"/>
    <n v="0"/>
    <s v="News media"/>
    <s v="fiercebiotech.com"/>
    <s v="https://www.fiercebiotech.com/biotech/fierce-biotech-layoff-tracker-2026"/>
  </r>
  <r>
    <n v="408"/>
    <s v="Thermo Fisher"/>
    <x v="0"/>
    <x v="0"/>
    <x v="0"/>
    <n v="0"/>
    <n v="80"/>
    <n v="125000"/>
    <n v="1E-3"/>
    <d v="2026-02-02T00:00:00"/>
    <d v="2026-02-01T00:00:00"/>
    <s v="Day"/>
    <s v="Feb 2026"/>
    <s v="Feb 2"/>
    <x v="2"/>
    <x v="2"/>
    <s v="1 - &lt;100"/>
    <n v="0"/>
    <n v="1"/>
    <n v="1"/>
    <n v="0"/>
    <s v="News media"/>
    <s v="fiercebiotech.com"/>
    <s v="https://www.fiercebiotech.com/biotech/fierce-biotech-layoff-tracker-2026"/>
  </r>
  <r>
    <n v="409"/>
    <s v="Thinkific"/>
    <x v="1"/>
    <x v="1"/>
    <x v="0"/>
    <n v="0"/>
    <n v="96"/>
    <n v="297"/>
    <n v="0.3229999999999999"/>
    <d v="2026-09-23T00:00:00"/>
    <d v="2026-09-01T00:00:00"/>
    <s v="Day"/>
    <s v="Sep 2026"/>
    <s v="Sep 23"/>
    <x v="1"/>
    <x v="1"/>
    <s v="1 - &lt;100"/>
    <n v="0"/>
    <n v="1"/>
    <n v="1"/>
    <n v="0"/>
    <s v="News media"/>
    <s v="betakit.com"/>
    <s v="https://betakit.com/thinkific-lays-off-30-percent-of-employees-as-part-of-enterprise-push/"/>
  </r>
  <r>
    <n v="410"/>
    <s v="Thomson Reuters"/>
    <x v="1"/>
    <x v="1"/>
    <x v="1"/>
    <n v="1"/>
    <n v="500"/>
    <n v="27100"/>
    <n v="1.7999999999999999E-2"/>
    <d v="2026-07-13T00:00:00"/>
    <d v="2026-07-01T00:00:00"/>
    <s v="Day"/>
    <s v="Jul 2026"/>
    <s v="Jul 13"/>
    <x v="0"/>
    <x v="2"/>
    <s v="3 - 500-999"/>
    <n v="0"/>
    <n v="1"/>
    <n v="1"/>
    <n v="0"/>
    <s v="News media"/>
    <s v="thenextweb.com"/>
    <s v="https://thenextweb.com/news/thomson-reuters-engineering-layoffs-ai"/>
  </r>
  <r>
    <n v="411"/>
    <s v="Ticketmaster"/>
    <x v="8"/>
    <x v="0"/>
    <x v="1"/>
    <n v="1"/>
    <n v="350"/>
    <n v="4375"/>
    <n v="0.08"/>
    <d v="2026-05-06T00:00:00"/>
    <d v="2026-05-01T00:00:00"/>
    <s v="Day"/>
    <s v="May 2026"/>
    <s v="May 6"/>
    <x v="3"/>
    <x v="0"/>
    <s v="2 - 100-499"/>
    <n v="0"/>
    <n v="1"/>
    <n v="1"/>
    <n v="0"/>
    <s v="News media"/>
    <s v="world.infonasional.com"/>
    <s v="https://world.infonasional.com/ticketmaster-layoffs-ai-restructuring-strategy"/>
  </r>
  <r>
    <n v="412"/>
    <s v="TikTok"/>
    <x v="8"/>
    <x v="0"/>
    <x v="1"/>
    <n v="1"/>
    <n v="300"/>
    <n v="40000"/>
    <n v="8.0000000000000002E-3"/>
    <d v="2026-07-01T00:00:00"/>
    <d v="2026-07-01T00:00:00"/>
    <s v="Day"/>
    <s v="Jul 2026"/>
    <s v="Jul 1"/>
    <x v="0"/>
    <x v="2"/>
    <s v="2 - 100-499"/>
    <n v="0"/>
    <n v="1"/>
    <n v="3"/>
    <n v="1"/>
    <s v="News media"/>
    <s v="thejournal.ie"/>
    <s v="https://www.thejournal.ie/tiktok-layoffs-7086833-Jul2026/"/>
  </r>
  <r>
    <n v="413"/>
    <s v="TikTok"/>
    <x v="8"/>
    <x v="0"/>
    <x v="0"/>
    <n v="0"/>
    <n v="250"/>
    <n v="7000"/>
    <n v="3.5999999999999997E-2"/>
    <d v="2026-08-05T00:00:00"/>
    <d v="2026-08-01T00:00:00"/>
    <s v="Day"/>
    <s v="Aug 2026"/>
    <s v="Aug 5"/>
    <x v="3"/>
    <x v="2"/>
    <s v="2 - 100-499"/>
    <n v="0"/>
    <n v="2"/>
    <n v="3"/>
    <n v="1"/>
    <s v="News media"/>
    <s v="billboard.com"/>
    <s v="https://www.billboard.com/pro/tiktok-closes-nashville-office-lays-off-staff-music-city/"/>
  </r>
  <r>
    <n v="414"/>
    <s v="TikTok"/>
    <x v="8"/>
    <x v="0"/>
    <x v="0"/>
    <n v="0"/>
    <n v="75"/>
    <n v="7000"/>
    <n v="1.0999999999999999E-2"/>
    <d v="2026-08-19T00:00:00"/>
    <d v="2026-08-01T00:00:00"/>
    <s v="Day"/>
    <s v="Aug 2026"/>
    <s v="Aug 19"/>
    <x v="3"/>
    <x v="2"/>
    <s v="1 - &lt;100"/>
    <n v="0"/>
    <n v="3"/>
    <n v="3"/>
    <n v="1"/>
    <s v="News media"/>
    <s v="geekwire.com"/>
    <s v="https://www.geekwire.com/2026/tiktok-cuts-75-jobs-in-seattle-area-hitting-e-commerce-teams/"/>
  </r>
  <r>
    <n v="415"/>
    <s v="Transdev"/>
    <x v="4"/>
    <x v="0"/>
    <x v="0"/>
    <n v="0"/>
    <n v="126"/>
    <n v="30000"/>
    <n v="4.0000000000000001E-3"/>
    <d v="2026-04-29T00:00:00"/>
    <d v="2026-04-01T00:00:00"/>
    <s v="Day"/>
    <s v="Apr 2026"/>
    <s v="Apr 29"/>
    <x v="0"/>
    <x v="2"/>
    <s v="2 - 100-499"/>
    <n v="0"/>
    <n v="1"/>
    <n v="1"/>
    <n v="0"/>
    <s v="Government / WARN filing"/>
    <s v="warntracker.com"/>
    <s v="https://www.warntracker.com/company/transdev"/>
  </r>
  <r>
    <n v="416"/>
    <s v="Trinity Health"/>
    <x v="0"/>
    <x v="0"/>
    <x v="0"/>
    <n v="0"/>
    <n v="557"/>
    <n v="133000"/>
    <n v="4.0000000000000001E-3"/>
    <d v="2026-09-04T00:00:00"/>
    <d v="2026-09-01T00:00:00"/>
    <s v="Day"/>
    <s v="Sep 2026"/>
    <s v="Sep 4"/>
    <x v="2"/>
    <x v="2"/>
    <s v="3 - 500-999"/>
    <n v="0"/>
    <n v="1"/>
    <n v="1"/>
    <n v="0"/>
    <s v="News media"/>
    <s v="clickondetroit.com"/>
    <s v="https://www.clickondetroit.com/news/local/2026/09/08/trinity-health-to-cut-over-500-jobs-in-livonia/"/>
  </r>
  <r>
    <n v="417"/>
    <s v="Trustly"/>
    <x v="9"/>
    <x v="1"/>
    <x v="0"/>
    <n v="0"/>
    <n v="200"/>
    <n v="800"/>
    <n v="0.25"/>
    <d v="2026-09-17T00:00:00"/>
    <d v="2026-09-01T00:00:00"/>
    <s v="Day"/>
    <s v="Sep 2026"/>
    <s v="Sep 17"/>
    <x v="1"/>
    <x v="1"/>
    <s v="2 - 100-499"/>
    <n v="0"/>
    <n v="1"/>
    <n v="1"/>
    <n v="0"/>
    <s v="News media"/>
    <s v="tech.eu"/>
    <s v="https://tech.eu/2026/09/17/swedish-fintech-trustly-to-cut-around-200-jobs/"/>
  </r>
  <r>
    <n v="418"/>
    <s v="Tyson Foods"/>
    <x v="5"/>
    <x v="0"/>
    <x v="0"/>
    <n v="0"/>
    <n v="4900"/>
    <n v="139000"/>
    <n v="3.5000000000000003E-2"/>
    <d v="2026-01-01T00:00:00"/>
    <d v="2026-01-01T00:00:00"/>
    <s v="Month"/>
    <s v="Jan 2026"/>
    <s v="Jan 2026"/>
    <x v="2"/>
    <x v="2"/>
    <s v="4 - 1K-4.9K"/>
    <n v="0"/>
    <n v="1"/>
    <n v="3"/>
    <n v="1"/>
    <s v="News media"/>
    <s v="recruitingnewsnetwork.com"/>
    <s v="https://www.recruitingnewsnetwork.com/posts/major-companies-entering-2026-with-mass-layoffs-already-underway"/>
  </r>
  <r>
    <n v="419"/>
    <s v="Tyson Foods"/>
    <x v="5"/>
    <x v="0"/>
    <x v="0"/>
    <n v="0"/>
    <n v="2500"/>
    <n v="133000"/>
    <n v="1.9E-2"/>
    <d v="2026-08-13T00:00:00"/>
    <d v="2026-08-01T00:00:00"/>
    <s v="Day"/>
    <s v="Aug 2026"/>
    <s v="Aug 13"/>
    <x v="2"/>
    <x v="2"/>
    <s v="4 - 1K-4.9K"/>
    <n v="0"/>
    <n v="2"/>
    <n v="3"/>
    <n v="1"/>
    <s v="News media"/>
    <s v="nbcchicago.com"/>
    <s v="https://www.nbcchicago.com/news/local/tyson-foods-abruptly-closing-beef-plant-in-illinois-with-2500-workers-to-lose-their-jobs/3975332/"/>
  </r>
  <r>
    <n v="420"/>
    <s v="Tyson Foods"/>
    <x v="5"/>
    <x v="0"/>
    <x v="0"/>
    <n v="0"/>
    <n v="723"/>
    <n v="133000"/>
    <n v="5.0000000000000001E-3"/>
    <d v="2026-08-13T00:00:00"/>
    <d v="2026-08-01T00:00:00"/>
    <s v="Day"/>
    <s v="Aug 2026"/>
    <s v="Aug 13"/>
    <x v="2"/>
    <x v="2"/>
    <s v="3 - 500-999"/>
    <n v="0"/>
    <n v="3"/>
    <n v="3"/>
    <n v="1"/>
    <s v="News media"/>
    <s v="ksl.com"/>
    <s v="https://www.ksl.com/article/51609885/723-jobs-being-lost-as-tyson-foods-closes-eagle-mountain-facility"/>
  </r>
  <r>
    <n v="421"/>
    <s v="UCare"/>
    <x v="0"/>
    <x v="0"/>
    <x v="0"/>
    <n v="0"/>
    <n v="102"/>
    <n v="1450"/>
    <n v="7.0000000000000007E-2"/>
    <d v="2026-08-03T00:00:00"/>
    <d v="2026-08-01T00:00:00"/>
    <s v="Day"/>
    <s v="Aug 2026"/>
    <s v="Aug 3"/>
    <x v="3"/>
    <x v="0"/>
    <s v="2 - 100-499"/>
    <n v="0"/>
    <n v="1"/>
    <n v="1"/>
    <n v="0"/>
    <s v="News media"/>
    <s v="kstp.com"/>
    <s v="https://kstp.com/kstp-news/top-news/ucare-cuts-102-jobs-as-medicaid-contracts-shift-to-medica/"/>
  </r>
  <r>
    <n v="422"/>
    <s v="UKG"/>
    <x v="1"/>
    <x v="1"/>
    <x v="1"/>
    <n v="1"/>
    <n v="950"/>
    <n v="12800"/>
    <n v="7.3999999999999996E-2"/>
    <d v="2026-04-15T00:00:00"/>
    <d v="2026-04-01T00:00:00"/>
    <s v="Day"/>
    <s v="Apr 2026"/>
    <s v="Apr 15"/>
    <x v="0"/>
    <x v="0"/>
    <s v="3 - 500-999"/>
    <n v="0"/>
    <n v="1"/>
    <n v="1"/>
    <n v="0"/>
    <s v="News media"/>
    <s v="finance.yahoo.com"/>
    <s v="https://finance.yahoo.com/markets/stocks/articles/ukg-formerly-ultimate-software-lays-205200750.html"/>
  </r>
  <r>
    <n v="423"/>
    <s v="UPS"/>
    <x v="4"/>
    <x v="0"/>
    <x v="1"/>
    <n v="1"/>
    <n v="30000"/>
    <n v="500000"/>
    <n v="0.06"/>
    <d v="2026-01-01T00:00:00"/>
    <d v="2026-01-01T00:00:00"/>
    <s v="Month"/>
    <s v="Jan 2026"/>
    <s v="Jan 2026"/>
    <x v="2"/>
    <x v="0"/>
    <s v="5 - 5K+"/>
    <n v="0"/>
    <n v="1"/>
    <n v="1"/>
    <n v="0"/>
    <s v="News media"/>
    <s v="newsnationnow.com"/>
    <s v="https://www.newsnationnow.com/business/major-employers-job-cuts-2026/"/>
  </r>
  <r>
    <n v="424"/>
    <s v="USC (University of Southern California)"/>
    <x v="12"/>
    <x v="0"/>
    <x v="0"/>
    <n v="0"/>
    <n v="65"/>
    <n v="23942"/>
    <n v="3.0000000000000001E-3"/>
    <d v="2026-09-01T00:00:00"/>
    <d v="2026-09-01T00:00:00"/>
    <s v="Day"/>
    <s v="Sep 2026"/>
    <s v="Sep 1"/>
    <x v="0"/>
    <x v="2"/>
    <s v="1 - &lt;100"/>
    <n v="0"/>
    <n v="1"/>
    <n v="1"/>
    <n v="0"/>
    <s v="News media"/>
    <s v="dailynews.com"/>
    <s v="https://www.dailynews.com/2026/09/11/usc-cuts-65-workers-at-viterbi-school-of-engineering/"/>
  </r>
  <r>
    <n v="425"/>
    <s v="Uber"/>
    <x v="4"/>
    <x v="0"/>
    <x v="1"/>
    <n v="1"/>
    <n v="340"/>
    <n v="34000"/>
    <n v="0.01"/>
    <d v="2026-06-03T00:00:00"/>
    <d v="2026-06-01T00:00:00"/>
    <s v="Day"/>
    <s v="Jun 2026"/>
    <s v="Jun 3"/>
    <x v="0"/>
    <x v="2"/>
    <s v="2 - 100-499"/>
    <n v="0"/>
    <n v="1"/>
    <n v="2"/>
    <n v="1"/>
    <s v="News media"/>
    <s v="bloomberg.com"/>
    <s v="https://www.bloomberg.com/news/articles/2026-06-03/uber-cuts-23-of-people-division-as-new-president-takes-charge"/>
  </r>
  <r>
    <n v="426"/>
    <s v="Uber"/>
    <x v="4"/>
    <x v="0"/>
    <x v="0"/>
    <n v="0"/>
    <n v="3300"/>
    <n v="34000"/>
    <n v="9.6999999999999906E-2"/>
    <d v="2026-09-02T00:00:00"/>
    <d v="2026-09-01T00:00:00"/>
    <s v="Day"/>
    <s v="Sep 2026"/>
    <s v="Sep 2"/>
    <x v="0"/>
    <x v="0"/>
    <s v="4 - 1K-4.9K"/>
    <n v="0"/>
    <n v="2"/>
    <n v="2"/>
    <n v="1"/>
    <s v="News media"/>
    <s v="finance.yahoo.com"/>
    <s v="https://finance.yahoo.com/markets/stocks/articles/uber-cutting-3-300-jobs-115712298.html"/>
  </r>
  <r>
    <n v="427"/>
    <s v="Ubisoft"/>
    <x v="1"/>
    <x v="1"/>
    <x v="0"/>
    <n v="0"/>
    <n v="380"/>
    <n v="19000"/>
    <n v="0.02"/>
    <d v="2026-06-10T00:00:00"/>
    <d v="2026-06-01T00:00:00"/>
    <s v="Day"/>
    <s v="Jun 2026"/>
    <s v="Jun 10"/>
    <x v="0"/>
    <x v="2"/>
    <s v="2 - 100-499"/>
    <n v="0"/>
    <n v="1"/>
    <n v="1"/>
    <n v="0"/>
    <s v="News media"/>
    <s v="insider-gaming.com"/>
    <s v="https://insider-gaming.com/ubisoft-380-employees/"/>
  </r>
  <r>
    <n v="428"/>
    <s v="Ubisoft / Red Storm"/>
    <x v="1"/>
    <x v="1"/>
    <x v="0"/>
    <n v="0"/>
    <n v="105"/>
    <n v="19000"/>
    <n v="6.0000000000000001E-3"/>
    <d v="2026-03-19T00:00:00"/>
    <d v="2026-03-01T00:00:00"/>
    <s v="Day"/>
    <s v="Mar 2026"/>
    <s v="Mar 19"/>
    <x v="0"/>
    <x v="2"/>
    <s v="2 - 100-499"/>
    <n v="0"/>
    <n v="1"/>
    <n v="1"/>
    <n v="0"/>
    <s v="News media"/>
    <s v="gamedeveloper.com"/>
    <s v="https://www.gamedeveloper.com/business/ubisoft-lays-off-105-staff-at-red-storm-ends-game-development"/>
  </r>
  <r>
    <n v="429"/>
    <s v="Ultium Cells"/>
    <x v="4"/>
    <x v="0"/>
    <x v="3"/>
    <n v="0"/>
    <n v="1334"/>
    <n v="1700"/>
    <n v="0.78500000000000003"/>
    <d v="2026-01-05T00:00:00"/>
    <d v="2026-01-01T00:00:00"/>
    <s v="Day"/>
    <s v="Jan 2026"/>
    <s v="Jan 5"/>
    <x v="3"/>
    <x v="1"/>
    <s v="4 - 1K-4.9K"/>
    <n v="0"/>
    <n v="1"/>
    <n v="1"/>
    <n v="0"/>
    <s v="News media"/>
    <s v="wfmj.com"/>
    <s v="https://www.wfmj.com/story/53355222/ultium-cells-cuts-1300-jobs-at-lordstown-plant"/>
  </r>
  <r>
    <n v="430"/>
    <s v="UniCredit"/>
    <x v="3"/>
    <x v="0"/>
    <x v="0"/>
    <n v="0"/>
    <n v="400"/>
    <n v="85000"/>
    <n v="5.0000000000000001E-3"/>
    <d v="2026-03-18T00:00:00"/>
    <d v="2026-03-01T00:00:00"/>
    <s v="Day"/>
    <s v="Mar 2026"/>
    <s v="Mar 18"/>
    <x v="4"/>
    <x v="2"/>
    <s v="2 - 100-499"/>
    <n v="0"/>
    <n v="1"/>
    <n v="1"/>
    <n v="0"/>
    <s v="News media"/>
    <s v="intellizence.com"/>
    <s v="https://intellizence.com/insights/layoff-downsizing/major-companies-that-announced-mass-layoffs/"/>
  </r>
  <r>
    <n v="431"/>
    <s v="United Internet"/>
    <x v="1"/>
    <x v="1"/>
    <x v="0"/>
    <n v="0"/>
    <n v="800"/>
    <n v="10824"/>
    <n v="7.3999999999999996E-2"/>
    <d v="2026-09-11T00:00:00"/>
    <d v="2026-09-01T00:00:00"/>
    <s v="Day"/>
    <s v="Sep 2026"/>
    <s v="Sep 11"/>
    <x v="0"/>
    <x v="0"/>
    <s v="3 - 500-999"/>
    <n v="0"/>
    <n v="1"/>
    <n v="1"/>
    <n v="0"/>
    <s v="News media"/>
    <s v="rttnews.com"/>
    <s v="https://www.rttnews.com/3690270/united-internet-backs-fy26-outlook-units-1-1-ag-and-ionos-plan-restructuring-job-cuts.aspx"/>
  </r>
  <r>
    <n v="432"/>
    <s v="University of Maryland, College Park"/>
    <x v="12"/>
    <x v="0"/>
    <x v="2"/>
    <n v="0"/>
    <n v="84"/>
    <n v="14000"/>
    <n v="6.0000000000000001E-3"/>
    <d v="2026-06-03T00:00:00"/>
    <d v="2026-06-01T00:00:00"/>
    <s v="Day"/>
    <s v="Jun 2026"/>
    <s v="Jun 3"/>
    <x v="0"/>
    <x v="2"/>
    <s v="1 - &lt;100"/>
    <n v="0"/>
    <n v="1"/>
    <n v="1"/>
    <n v="0"/>
    <s v="News media"/>
    <s v="marylandmatters.org"/>
    <s v="https://marylandmatters.org/2026/06/04/umd-lays-off-84-employees-amongst-period-of-uncertainty/"/>
  </r>
  <r>
    <n v="433"/>
    <s v="University of Vermont Health Network"/>
    <x v="0"/>
    <x v="0"/>
    <x v="2"/>
    <n v="0"/>
    <n v="199"/>
    <n v="15000"/>
    <n v="1.2999999999999999E-2"/>
    <d v="2026-09-15T00:00:00"/>
    <d v="2026-09-01T00:00:00"/>
    <s v="Day"/>
    <s v="Sep 2026"/>
    <s v="Sep 15"/>
    <x v="0"/>
    <x v="2"/>
    <s v="2 - 100-499"/>
    <n v="0"/>
    <n v="1"/>
    <n v="1"/>
    <n v="0"/>
    <s v="News media"/>
    <s v="vtdigger.org"/>
    <s v="https://vtdigger.org/2026/09/15/hundreds-of-layoffs-announced-at-the-two-largest-healthcare-networks/"/>
  </r>
  <r>
    <n v="434"/>
    <s v="Upwork"/>
    <x v="1"/>
    <x v="1"/>
    <x v="1"/>
    <n v="1"/>
    <n v="145"/>
    <n v="600"/>
    <n v="0.24199999999999999"/>
    <d v="2026-05-07T00:00:00"/>
    <d v="2026-05-01T00:00:00"/>
    <s v="Day"/>
    <s v="May 2026"/>
    <s v="May 7"/>
    <x v="1"/>
    <x v="3"/>
    <s v="2 - 100-499"/>
    <n v="0"/>
    <n v="1"/>
    <n v="1"/>
    <n v="0"/>
    <s v="Company filing"/>
    <s v="investors.upwork.com"/>
    <s v="https://investors.upwork.com/news-releases/news-release-details/upwork-reports-first-quarter-2026-financial-results"/>
  </r>
  <r>
    <n v="435"/>
    <s v="Veritone"/>
    <x v="1"/>
    <x v="1"/>
    <x v="0"/>
    <n v="0"/>
    <n v="112"/>
    <n v="446"/>
    <n v="0.251"/>
    <d v="2026-06-10T00:00:00"/>
    <d v="2026-06-01T00:00:00"/>
    <s v="Day"/>
    <s v="Jun 2026"/>
    <s v="Jun 10"/>
    <x v="1"/>
    <x v="1"/>
    <s v="2 - 100-499"/>
    <n v="0"/>
    <n v="1"/>
    <n v="1"/>
    <n v="0"/>
    <s v="Company filing (SEC)"/>
    <s v="sec.gov"/>
    <s v="https://www.sec.gov/Archives/edgar/data/1615165/000162828026042199/veri-20260610.htm"/>
  </r>
  <r>
    <n v="436"/>
    <s v="Verizon"/>
    <x v="10"/>
    <x v="1"/>
    <x v="1"/>
    <n v="1"/>
    <n v="621"/>
    <n v="87000"/>
    <n v="6.9999999999999004E-3"/>
    <d v="2026-05-07T00:00:00"/>
    <d v="2026-05-01T00:00:00"/>
    <s v="Day"/>
    <s v="May 2026"/>
    <s v="May 7"/>
    <x v="4"/>
    <x v="2"/>
    <s v="3 - 500-999"/>
    <n v="0"/>
    <n v="1"/>
    <n v="2"/>
    <n v="1"/>
    <s v="News media"/>
    <s v="thestreet.com"/>
    <s v="https://www.thestreet.com/employment/verizon-ceo-cuts-to-the-chase-new-layoffs-ai-future"/>
  </r>
  <r>
    <n v="437"/>
    <s v="Verizon"/>
    <x v="10"/>
    <x v="1"/>
    <x v="0"/>
    <n v="0"/>
    <n v="3000"/>
    <n v="89900"/>
    <n v="3.3000000000000002E-2"/>
    <d v="2026-07-16T00:00:00"/>
    <d v="2026-07-01T00:00:00"/>
    <s v="Day"/>
    <s v="Jul 2026"/>
    <s v="Jul 16"/>
    <x v="4"/>
    <x v="2"/>
    <s v="4 - 1K-4.9K"/>
    <n v="0"/>
    <n v="2"/>
    <n v="2"/>
    <n v="1"/>
    <s v="News media"/>
    <s v="finance.yahoo.com"/>
    <s v="https://finance.yahoo.com/markets/stocks/articles/verizon-shed-274-stores-lay-160739807.html"/>
  </r>
  <r>
    <n v="438"/>
    <s v="Vertex Pharma"/>
    <x v="0"/>
    <x v="0"/>
    <x v="0"/>
    <n v="0"/>
    <n v="20"/>
    <n v="10000"/>
    <n v="2E-3"/>
    <d v="2026-03-06T00:00:00"/>
    <d v="2026-03-01T00:00:00"/>
    <s v="Day"/>
    <s v="Mar 2026"/>
    <s v="Mar 6"/>
    <x v="0"/>
    <x v="2"/>
    <s v="1 - &lt;100"/>
    <n v="0"/>
    <n v="1"/>
    <n v="1"/>
    <n v="0"/>
    <s v="News media"/>
    <s v="fiercebiotech.com"/>
    <s v="https://www.fiercebiotech.com/biotech/fierce-biotech-layoff-tracker-2026"/>
  </r>
  <r>
    <n v="439"/>
    <s v="Viatris"/>
    <x v="0"/>
    <x v="0"/>
    <x v="2"/>
    <n v="0"/>
    <n v="3200"/>
    <n v="37000"/>
    <n v="8.5999999999999993E-2"/>
    <d v="2026-02-26T00:00:00"/>
    <d v="2026-02-01T00:00:00"/>
    <s v="Day"/>
    <s v="Feb 2026"/>
    <s v="Feb 26"/>
    <x v="0"/>
    <x v="0"/>
    <s v="4 - 1K-4.9K"/>
    <n v="0"/>
    <n v="1"/>
    <n v="1"/>
    <n v="0"/>
    <s v="News media"/>
    <s v="fiercebiotech.com"/>
    <s v="https://www.fiercebiotech.com/biotech/fierce-biotech-layoff-tracker-2026"/>
  </r>
  <r>
    <n v="440"/>
    <s v="Visa"/>
    <x v="3"/>
    <x v="0"/>
    <x v="1"/>
    <n v="1"/>
    <n v="2600"/>
    <n v="37000"/>
    <n v="7.0000000000000007E-2"/>
    <d v="2026-07-28T00:00:00"/>
    <d v="2026-07-01T00:00:00"/>
    <s v="Day"/>
    <s v="Jul 2026"/>
    <s v="Jul 28"/>
    <x v="0"/>
    <x v="0"/>
    <s v="4 - 1K-4.9K"/>
    <n v="0"/>
    <n v="1"/>
    <n v="1"/>
    <n v="0"/>
    <s v="News media"/>
    <s v="cnbc.com"/>
    <s v="https://www.cnbc.com/2026/07/28/visa-is-cutting-7percent-of-employees-in-efficiency-push-as-ai-reshapes-work.html"/>
  </r>
  <r>
    <n v="441"/>
    <s v="Volkswagen Group"/>
    <x v="4"/>
    <x v="0"/>
    <x v="3"/>
    <n v="0"/>
    <n v="31000"/>
    <n v="680000"/>
    <n v="4.5999999999999999E-2"/>
    <d v="2026-03-10T00:00:00"/>
    <d v="2026-03-01T00:00:00"/>
    <s v="Day"/>
    <s v="Mar 2026"/>
    <s v="Mar 10"/>
    <x v="2"/>
    <x v="2"/>
    <s v="5 - 5K+"/>
    <n v="0"/>
    <n v="1"/>
    <n v="3"/>
    <n v="1"/>
    <s v="News media"/>
    <s v="digitaljournal.com"/>
    <s v="https://www.digitaljournal.com/world/volkswagen-says-to-cut-50000-jobs-as-profit-slides/article"/>
  </r>
  <r>
    <n v="442"/>
    <s v="Volkswagen Group"/>
    <x v="4"/>
    <x v="0"/>
    <x v="3"/>
    <n v="0"/>
    <n v="19000"/>
    <n v="680000"/>
    <n v="2.79999999999999E-2"/>
    <d v="2026-06-11T00:00:00"/>
    <d v="2026-06-01T00:00:00"/>
    <s v="Day"/>
    <s v="Jun 2026"/>
    <s v="Jun 11"/>
    <x v="2"/>
    <x v="2"/>
    <s v="5 - 5K+"/>
    <n v="0"/>
    <n v="2"/>
    <n v="3"/>
    <n v="1"/>
    <s v="News media"/>
    <s v="timeslive.co.za"/>
    <s v="https://www.timeslive.co.za/motoring/2026-06-11-volkswagen-to-reduce-workforce-by-19000-by-end-of-year/"/>
  </r>
  <r>
    <n v="443"/>
    <s v="Volkswagen Group"/>
    <x v="4"/>
    <x v="0"/>
    <x v="0"/>
    <n v="0"/>
    <n v="50000"/>
    <n v="662942"/>
    <n v="7.4999999999999997E-2"/>
    <d v="2026-09-03T00:00:00"/>
    <d v="2026-09-01T00:00:00"/>
    <s v="Day"/>
    <s v="Sep 2026"/>
    <s v="Sep 3"/>
    <x v="2"/>
    <x v="0"/>
    <s v="5 - 5K+"/>
    <n v="0"/>
    <n v="3"/>
    <n v="3"/>
    <n v="1"/>
    <s v="News media"/>
    <s v="ttnews.com"/>
    <s v="https://www.ttnews.com/articles/volkswagen-board-job-cuts"/>
  </r>
  <r>
    <n v="444"/>
    <s v="WK Kellogg Co"/>
    <x v="5"/>
    <x v="0"/>
    <x v="0"/>
    <n v="0"/>
    <n v="450"/>
    <n v="3300"/>
    <n v="0.13600000000000001"/>
    <d v="2026-06-01T00:00:00"/>
    <d v="2026-06-01T00:00:00"/>
    <s v="Day"/>
    <s v="Jun 2026"/>
    <s v="Jun 1"/>
    <x v="3"/>
    <x v="3"/>
    <s v="2 - 100-499"/>
    <n v="0"/>
    <n v="1"/>
    <n v="2"/>
    <n v="1"/>
    <s v="News media"/>
    <s v="wowt.com"/>
    <s v="https://www.wowt.com/2026/06/01/kelloggs-details-omaha-plant-layoffs-planned-this-summer/"/>
  </r>
  <r>
    <n v="445"/>
    <s v="WK Kellogg Co"/>
    <x v="5"/>
    <x v="0"/>
    <x v="0"/>
    <n v="0"/>
    <n v="117"/>
    <n v="3300"/>
    <n v="3.5000000000000003E-2"/>
    <d v="2026-06-08T00:00:00"/>
    <d v="2026-06-01T00:00:00"/>
    <s v="Day"/>
    <s v="Jun 2026"/>
    <s v="Jun 8"/>
    <x v="3"/>
    <x v="2"/>
    <s v="2 - 100-499"/>
    <n v="0"/>
    <n v="2"/>
    <n v="2"/>
    <n v="1"/>
    <s v="News media"/>
    <s v="actionnews5.com"/>
    <s v="https://www.actionnews5.com/2026/06/08/memphis-kelloggs-factory-lay-off-100-workers/"/>
  </r>
  <r>
    <n v="446"/>
    <s v="WME"/>
    <x v="8"/>
    <x v="0"/>
    <x v="0"/>
    <n v="0"/>
    <n v="30"/>
    <n v="1000"/>
    <n v="0.03"/>
    <d v="2026-03-18T00:00:00"/>
    <d v="2026-03-01T00:00:00"/>
    <s v="Day"/>
    <s v="Mar 2026"/>
    <s v="Mar 18"/>
    <x v="3"/>
    <x v="2"/>
    <s v="1 - &lt;100"/>
    <n v="0"/>
    <n v="1"/>
    <n v="1"/>
    <n v="0"/>
    <s v="News media"/>
    <s v="deadline.com"/>
    <s v="https://deadline.com/2026/03/wme-layoffs-william-morris-endeavor-agency-1236758850/"/>
  </r>
  <r>
    <n v="447"/>
    <s v="WPP"/>
    <x v="8"/>
    <x v="0"/>
    <x v="0"/>
    <n v="0"/>
    <n v="300"/>
    <n v="100000"/>
    <n v="3.0000000000000001E-3"/>
    <d v="2026-07-13T00:00:00"/>
    <d v="2026-07-01T00:00:00"/>
    <s v="Day"/>
    <s v="Jul 2026"/>
    <s v="Jul 13"/>
    <x v="2"/>
    <x v="2"/>
    <s v="2 - 100-499"/>
    <n v="0"/>
    <n v="1"/>
    <n v="2"/>
    <n v="1"/>
    <s v="News media"/>
    <s v="bizcommunity.com"/>
    <s v="https://www.bizcommunity.com/article/wpp-500m-savings-drive-sees-hundreds-of-employees-let-go-064235a"/>
  </r>
  <r>
    <n v="448"/>
    <s v="WPP"/>
    <x v="8"/>
    <x v="0"/>
    <x v="0"/>
    <n v="0"/>
    <n v="1000"/>
    <n v="97388"/>
    <n v="0.01"/>
    <d v="2026-09-01T00:00:00"/>
    <d v="2026-09-01T00:00:00"/>
    <s v="Day"/>
    <s v="Sep 2026"/>
    <s v="Sep 1"/>
    <x v="4"/>
    <x v="2"/>
    <s v="4 - 1K-4.9K"/>
    <n v="0"/>
    <n v="2"/>
    <n v="2"/>
    <n v="1"/>
    <s v="News media"/>
    <s v="mumbrella.com.au"/>
    <s v="https://mumbrella.com.au/wpp-ramps-up-job-cuts-with-up-to-1000-more-roles-axed-935476"/>
  </r>
  <r>
    <n v="449"/>
    <s v="Walgreens"/>
    <x v="7"/>
    <x v="0"/>
    <x v="2"/>
    <n v="0"/>
    <n v="159"/>
    <n v="300000"/>
    <n v="1E-3"/>
    <d v="2026-02-01T00:00:00"/>
    <d v="2026-02-01T00:00:00"/>
    <s v="Month"/>
    <s v="Feb 2026"/>
    <s v="Feb 2026"/>
    <x v="2"/>
    <x v="2"/>
    <s v="2 - 100-499"/>
    <n v="0"/>
    <n v="1"/>
    <n v="1"/>
    <n v="0"/>
    <s v="News media"/>
    <s v="supplychaindive.com"/>
    <s v="https://www.supplychaindive.com/news/walgreens-layoff-texas-distribution-center-159-employees/812882/"/>
  </r>
  <r>
    <n v="450"/>
    <s v="Walmart"/>
    <x v="7"/>
    <x v="0"/>
    <x v="1"/>
    <n v="1"/>
    <n v="1100"/>
    <n v="2100000"/>
    <n v="1E-3"/>
    <d v="2026-05-12T00:00:00"/>
    <d v="2026-05-01T00:00:00"/>
    <s v="Day"/>
    <s v="May 2026"/>
    <s v="May 12"/>
    <x v="2"/>
    <x v="2"/>
    <s v="4 - 1K-4.9K"/>
    <n v="0"/>
    <n v="1"/>
    <n v="1"/>
    <n v="0"/>
    <s v="News media"/>
    <s v="reuters.com"/>
    <s v="https://www.reuters.com/legal/litigation/walmart-lays-off-or-relocates-about-1000-corporate-workers-wsj-reports-2026-05-12/"/>
  </r>
  <r>
    <n v="451"/>
    <s v="Washington Post"/>
    <x v="8"/>
    <x v="0"/>
    <x v="2"/>
    <n v="0"/>
    <n v="300"/>
    <n v="800"/>
    <n v="0.375"/>
    <d v="2026-02-01T00:00:00"/>
    <d v="2026-02-01T00:00:00"/>
    <s v="Month"/>
    <s v="Feb 2026"/>
    <s v="Feb 2026"/>
    <x v="1"/>
    <x v="1"/>
    <s v="2 - 100-499"/>
    <n v="0"/>
    <n v="1"/>
    <n v="1"/>
    <n v="0"/>
    <s v="News media"/>
    <s v="cheapism.com"/>
    <s v="https://www.cheapism.com/2026-layoffs-major-american-companies/"/>
  </r>
  <r>
    <n v="452"/>
    <s v="Webflow"/>
    <x v="1"/>
    <x v="1"/>
    <x v="1"/>
    <n v="1"/>
    <n v="140"/>
    <n v="1740"/>
    <n v="0.08"/>
    <d v="2026-05-27T00:00:00"/>
    <d v="2026-05-01T00:00:00"/>
    <s v="Day"/>
    <s v="May 2026"/>
    <s v="May 27"/>
    <x v="3"/>
    <x v="0"/>
    <s v="2 - 100-499"/>
    <n v="0"/>
    <n v="1"/>
    <n v="1"/>
    <n v="0"/>
    <s v="News media"/>
    <s v="webflow.com"/>
    <s v="https://webflow.com/blog/evolving-webflow-for-the-agentic-web"/>
  </r>
  <r>
    <n v="453"/>
    <s v="Wells Fargo"/>
    <x v="3"/>
    <x v="0"/>
    <x v="1"/>
    <n v="1"/>
    <n v="112"/>
    <n v="230000"/>
    <n v="0"/>
    <d v="2026-02-03T00:00:00"/>
    <d v="2026-02-01T00:00:00"/>
    <s v="Day"/>
    <s v="Feb 2026"/>
    <s v="Feb 3"/>
    <x v="2"/>
    <x v="2"/>
    <s v="2 - 100-499"/>
    <n v="0"/>
    <n v="1"/>
    <n v="1"/>
    <n v="0"/>
    <s v="News media"/>
    <s v="spectrumlocalnews.com"/>
    <s v="https://spectrumlocalnews.com/nc/charlotte/news/2026/02/06/raleigh-wells-fargo-layoffs-2026"/>
  </r>
  <r>
    <n v="454"/>
    <s v="Wellstar Health System"/>
    <x v="0"/>
    <x v="0"/>
    <x v="0"/>
    <n v="0"/>
    <n v="761"/>
    <n v="35000"/>
    <n v="2.1999999999999999E-2"/>
    <d v="2026-07-28T00:00:00"/>
    <d v="2026-07-01T00:00:00"/>
    <s v="Day"/>
    <s v="Jul 2026"/>
    <s v="Jul 28"/>
    <x v="0"/>
    <x v="2"/>
    <s v="3 - 500-999"/>
    <n v="0"/>
    <n v="1"/>
    <n v="1"/>
    <n v="0"/>
    <s v="News media"/>
    <s v="wsbtv.com"/>
    <s v="https://www.wsbtv.com/news/local/cobb-county/wellstar-lay-off-almost-800-staff-corporate-offices/CUH4APHFPNBZZLTNHTO7OZFGTY/"/>
  </r>
  <r>
    <n v="455"/>
    <s v="West Marine"/>
    <x v="7"/>
    <x v="0"/>
    <x v="0"/>
    <n v="0"/>
    <n v="80"/>
    <n v="5000"/>
    <n v="1.6E-2"/>
    <d v="2026-08-10T00:00:00"/>
    <d v="2026-08-01T00:00:00"/>
    <s v="Day"/>
    <s v="Aug 2026"/>
    <s v="Aug 10"/>
    <x v="3"/>
    <x v="2"/>
    <s v="1 - &lt;100"/>
    <n v="0"/>
    <n v="1"/>
    <n v="1"/>
    <n v="0"/>
    <s v="News media"/>
    <s v="freightwaves.com"/>
    <s v="https://www.freightwaves.com/news/freight-distress-report-more-than-7000-jobs-cut-in-new-wave-of-closures"/>
  </r>
  <r>
    <n v="456"/>
    <s v="Whirlpool"/>
    <x v="5"/>
    <x v="0"/>
    <x v="2"/>
    <n v="0"/>
    <n v="341"/>
    <n v="58000"/>
    <n v="6.0000000000000001E-3"/>
    <d v="2026-03-07T00:00:00"/>
    <d v="2026-03-01T00:00:00"/>
    <s v="Day"/>
    <s v="Mar 2026"/>
    <s v="Mar 7"/>
    <x v="4"/>
    <x v="2"/>
    <s v="2 - 100-499"/>
    <n v="0"/>
    <n v="1"/>
    <n v="1"/>
    <n v="0"/>
    <s v="News media"/>
    <s v="kcrg.com"/>
    <s v="https://www.kcrg.com/2026/03/07/whirlpool-amana-layoffs-341-workers-lose-jobs-union-rallies-support/"/>
  </r>
  <r>
    <n v="457"/>
    <s v="Whitbread"/>
    <x v="7"/>
    <x v="0"/>
    <x v="0"/>
    <n v="0"/>
    <n v="3800"/>
    <n v="34000"/>
    <n v="0.11199999999999991"/>
    <d v="2026-04-30T00:00:00"/>
    <d v="2026-04-01T00:00:00"/>
    <s v="Day"/>
    <s v="Apr 2026"/>
    <s v="Apr 30"/>
    <x v="0"/>
    <x v="3"/>
    <s v="4 - 1K-4.9K"/>
    <n v="0"/>
    <n v="1"/>
    <n v="1"/>
    <n v="0"/>
    <s v="News media"/>
    <s v="rte.ie"/>
    <s v="https://www.rte.ie/news/business/2026/0430/1571072-premier-inn-owner-whitbread-to-cut-jobs/"/>
  </r>
  <r>
    <n v="458"/>
    <s v="Whyalla Steelworks (OneSteel)"/>
    <x v="5"/>
    <x v="0"/>
    <x v="0"/>
    <n v="0"/>
    <n v="500"/>
    <n v="1700"/>
    <n v="0.29399999999999998"/>
    <d v="2026-09-14T00:00:00"/>
    <d v="2026-09-01T00:00:00"/>
    <s v="Day"/>
    <s v="Sep 2026"/>
    <s v="Sep 14"/>
    <x v="3"/>
    <x v="1"/>
    <s v="3 - 500-999"/>
    <n v="0"/>
    <n v="1"/>
    <n v="1"/>
    <n v="0"/>
    <s v="News media"/>
    <s v="abc.net.au"/>
    <s v="https://www.abc.net.au/news/2026-09-14/hundreds-of-jobs-to-go-at-whyalla-steelworks/107149844"/>
  </r>
  <r>
    <n v="459"/>
    <s v="WiseTech Global"/>
    <x v="4"/>
    <x v="0"/>
    <x v="1"/>
    <n v="1"/>
    <n v="2000"/>
    <n v="7000"/>
    <n v="0.28599999999999998"/>
    <d v="2026-02-25T00:00:00"/>
    <d v="2026-02-01T00:00:00"/>
    <s v="Day"/>
    <s v="Feb 2026"/>
    <s v="Feb 25"/>
    <x v="3"/>
    <x v="1"/>
    <s v="4 - 1K-4.9K"/>
    <n v="0"/>
    <n v="1"/>
    <n v="1"/>
    <n v="0"/>
    <s v="News media"/>
    <s v="bloomberg.com"/>
    <s v="https://www.bloomberg.com/news/articles/2026-02-24/wisetech-to-cut-2-000-jobs-as-ai-ends-era-of-manual-coding"/>
  </r>
  <r>
    <n v="460"/>
    <s v="Wix"/>
    <x v="1"/>
    <x v="1"/>
    <x v="1"/>
    <n v="1"/>
    <n v="1000"/>
    <n v="5277"/>
    <n v="0.19"/>
    <d v="2026-05-25T00:00:00"/>
    <d v="2026-05-01T00:00:00"/>
    <s v="Day"/>
    <s v="May 2026"/>
    <s v="May 25"/>
    <x v="3"/>
    <x v="3"/>
    <s v="4 - 1K-4.9K"/>
    <n v="0"/>
    <n v="1"/>
    <n v="1"/>
    <n v="0"/>
    <s v="News media"/>
    <s v="en.globes.co.il"/>
    <s v="https://en.globes.co.il/en/article-wix-plans-800-1000-layoffs-1001543841"/>
  </r>
  <r>
    <n v="461"/>
    <s v="Wonder"/>
    <x v="7"/>
    <x v="0"/>
    <x v="0"/>
    <n v="0"/>
    <n v="533"/>
    <n v="3700"/>
    <n v="0.14399999999999999"/>
    <d v="2026-09-16T00:00:00"/>
    <d v="2026-09-01T00:00:00"/>
    <s v="Day"/>
    <s v="Sep 2026"/>
    <s v="Sep 16"/>
    <x v="3"/>
    <x v="3"/>
    <s v="3 - 500-999"/>
    <n v="0"/>
    <n v="1"/>
    <n v="1"/>
    <n v="0"/>
    <s v="News media"/>
    <s v="njbiz.com"/>
    <s v="https://njbiz.com/wonder-layoffs-new-jersey-533-workers/"/>
  </r>
  <r>
    <n v="462"/>
    <s v="Workday"/>
    <x v="1"/>
    <x v="1"/>
    <x v="0"/>
    <n v="0"/>
    <n v="500"/>
    <n v="21070"/>
    <n v="2.4E-2"/>
    <d v="2026-09-29T00:00:00"/>
    <d v="2026-09-01T00:00:00"/>
    <s v="Day"/>
    <s v="Sep 2026"/>
    <s v="Sep 29"/>
    <x v="0"/>
    <x v="2"/>
    <s v="3 - 500-999"/>
    <n v="0"/>
    <n v="1"/>
    <n v="1"/>
    <n v="0"/>
    <s v="News media"/>
    <s v="finance.yahoo.com"/>
    <s v="https://finance.yahoo.com/news/workday-doing-another-round-layoffs-212052410.html"/>
  </r>
  <r>
    <n v="463"/>
    <s v="ZF Active Safety (ZF Group)"/>
    <x v="4"/>
    <x v="0"/>
    <x v="0"/>
    <n v="0"/>
    <n v="133"/>
    <n v="153153"/>
    <n v="1E-3"/>
    <d v="2026-10-01T00:00:00"/>
    <d v="2026-10-01T00:00:00"/>
    <s v="Day"/>
    <s v="Oct 2026"/>
    <s v="Oct 1"/>
    <x v="2"/>
    <x v="2"/>
    <s v="2 - 100-499"/>
    <n v="0"/>
    <n v="1"/>
    <n v="1"/>
    <n v="0"/>
    <s v="News media"/>
    <s v="insideindianabusiness.com"/>
    <s v="https://www.insideindianabusiness.com/articles/automotive-technology-company-to-close-lafayette-plant-cut-133-jobs"/>
  </r>
  <r>
    <n v="464"/>
    <s v="Zalando"/>
    <x v="7"/>
    <x v="0"/>
    <x v="4"/>
    <n v="0"/>
    <n v="2700"/>
    <n v="16582"/>
    <n v="0.16300000000000001"/>
    <d v="2026-01-08T00:00:00"/>
    <d v="2026-01-01T00:00:00"/>
    <s v="Day"/>
    <s v="Jan 2026"/>
    <s v="Jan 8"/>
    <x v="0"/>
    <x v="3"/>
    <s v="4 - 1K-4.9K"/>
    <n v="0"/>
    <n v="1"/>
    <n v="1"/>
    <n v="0"/>
    <s v="News media"/>
    <s v="corporate.zalando.com"/>
    <s v="https://corporate.zalando.com/en/convenience/zalando-reshapes-logistics-network-creating-more-value-customers-and-partners"/>
  </r>
  <r>
    <n v="465"/>
    <s v="Zillow"/>
    <x v="1"/>
    <x v="1"/>
    <x v="2"/>
    <n v="0"/>
    <n v="500"/>
    <n v="7068"/>
    <n v="7.0999999999999994E-2"/>
    <d v="2026-08-04T00:00:00"/>
    <d v="2026-08-01T00:00:00"/>
    <s v="Day"/>
    <s v="Aug 2026"/>
    <s v="Aug 4"/>
    <x v="3"/>
    <x v="0"/>
    <s v="3 - 500-999"/>
    <n v="0"/>
    <n v="1"/>
    <n v="1"/>
    <n v="0"/>
    <s v="News media"/>
    <s v="housingwire.com"/>
    <s v="https://www.housingwire.com/articles/zillow-layoffs-restructuring-500/"/>
  </r>
  <r>
    <n v="466"/>
    <s v="Zomato (Eternal)"/>
    <x v="6"/>
    <x v="0"/>
    <x v="0"/>
    <n v="0"/>
    <n v="250"/>
    <n v="22370"/>
    <n v="1.0999999999999999E-2"/>
    <d v="2026-08-31T00:00:00"/>
    <d v="2026-08-01T00:00:00"/>
    <s v="Day"/>
    <s v="Aug 2026"/>
    <s v="Aug 31"/>
    <x v="0"/>
    <x v="2"/>
    <s v="2 - 100-499"/>
    <n v="0"/>
    <n v="1"/>
    <n v="1"/>
    <n v="0"/>
    <s v="News media"/>
    <s v="businesstoday.in"/>
    <s v="https://www.businesstoday.in/technology/news/story/zomato-to-layoff-250-employees-shut-hyderabad-customer-support-centre-552227-2026-08-31"/>
  </r>
  <r>
    <n v="467"/>
    <s v="ZoomInfo"/>
    <x v="1"/>
    <x v="1"/>
    <x v="0"/>
    <n v="0"/>
    <n v="600"/>
    <n v="3000"/>
    <n v="0.2"/>
    <d v="2026-05-11T00:00:00"/>
    <d v="2026-05-01T00:00:00"/>
    <s v="Day"/>
    <s v="May 2026"/>
    <s v="May 11"/>
    <x v="3"/>
    <x v="3"/>
    <s v="3 - 500-999"/>
    <n v="0"/>
    <n v="1"/>
    <n v="1"/>
    <n v="0"/>
    <s v="News media"/>
    <s v="stocktitan.net"/>
    <s v="https://www.stocktitan.net/sec-filings/GTM/8-k-zoom-info-technologies-inc-reports-material-event-1c8ee7c46b0c.html"/>
  </r>
  <r>
    <n v="468"/>
    <s v="Zscaler"/>
    <x v="1"/>
    <x v="1"/>
    <x v="0"/>
    <n v="0"/>
    <n v="261"/>
    <n v="8700"/>
    <n v="0.03"/>
    <d v="2026-09-03T00:00:00"/>
    <d v="2026-09-01T00:00:00"/>
    <s v="Day"/>
    <s v="Sep 2026"/>
    <s v="Sep 3"/>
    <x v="3"/>
    <x v="2"/>
    <s v="2 - 100-499"/>
    <n v="0"/>
    <n v="1"/>
    <n v="1"/>
    <n v="0"/>
    <s v="News media"/>
    <s v="govinfosecurity.com"/>
    <s v="https://www.govinfosecurity.com/zscaler-to-lay-off-3-staff-as-shifts-spend-to-sales-a-32746"/>
  </r>
  <r>
    <n v="469"/>
    <s v="airBaltic"/>
    <x v="4"/>
    <x v="0"/>
    <x v="0"/>
    <n v="0"/>
    <n v="700"/>
    <n v="3000"/>
    <n v="0.23300000000000001"/>
    <d v="2026-10-05T00:00:00"/>
    <d v="2026-10-01T00:00:00"/>
    <s v="Day"/>
    <s v="Oct 2026"/>
    <s v="Oct 5"/>
    <x v="3"/>
    <x v="3"/>
    <s v="3 - 500-999"/>
    <n v="0"/>
    <n v="1"/>
    <n v="1"/>
    <n v="0"/>
    <s v="News media"/>
    <s v="aerotime.aero"/>
    <s v="https://www.aerotime.aero/articles/airbaltic-staff-hundreds-job-cuts-riga-vilnius-tallinn"/>
  </r>
  <r>
    <n v="470"/>
    <s v="bet365"/>
    <x v="8"/>
    <x v="0"/>
    <x v="2"/>
    <n v="0"/>
    <n v="340"/>
    <n v="10000"/>
    <n v="3.4000000000000002E-2"/>
    <d v="2026-09-08T00:00:00"/>
    <d v="2026-09-01T00:00:00"/>
    <s v="Day"/>
    <s v="Sep 2026"/>
    <s v="Sep 8"/>
    <x v="0"/>
    <x v="2"/>
    <s v="2 - 100-499"/>
    <n v="0"/>
    <n v="1"/>
    <n v="1"/>
    <n v="0"/>
    <s v="News media"/>
    <s v="racingpost.com"/>
    <s v="https://www.racingpost.com/news/industry/betting-industry/bet365-to-cut-340-jobs-in-latest-blow-from-higher-gambling-taxes-aDMCy8c3OFEs/"/>
  </r>
  <r>
    <n v="471"/>
    <s v="eBay"/>
    <x v="1"/>
    <x v="1"/>
    <x v="0"/>
    <n v="0"/>
    <n v="800"/>
    <n v="12300"/>
    <n v="6.5000000000000002E-2"/>
    <d v="2026-02-26T00:00:00"/>
    <d v="2026-02-01T00:00:00"/>
    <s v="Day"/>
    <s v="Feb 2026"/>
    <s v="Feb 26"/>
    <x v="0"/>
    <x v="0"/>
    <s v="3 - 500-999"/>
    <n v="0"/>
    <n v="1"/>
    <n v="1"/>
    <n v="0"/>
    <s v="News media"/>
    <s v="cnbc.com"/>
    <s v="https://www.cnbc.com/2026/02/26/ebay-layoffs-800-workforce.html"/>
  </r>
  <r>
    <n v="472"/>
    <s v="iHeartMedia"/>
    <x v="8"/>
    <x v="0"/>
    <x v="0"/>
    <n v="0"/>
    <n v="100"/>
    <n v="10000"/>
    <n v="0.01"/>
    <d v="2026-06-25T00:00:00"/>
    <d v="2026-06-01T00:00:00"/>
    <s v="Day"/>
    <s v="Jun 2026"/>
    <s v="Jun 25"/>
    <x v="0"/>
    <x v="2"/>
    <s v="2 - 100-499"/>
    <n v="0"/>
    <n v="1"/>
    <n v="1"/>
    <n v="0"/>
    <s v="News media"/>
    <s v="barrettmedia.com"/>
    <s v="https://barrettmedia.com/2026/06/25/iheartmedia-enacting-round-of-layoffs/"/>
  </r>
  <r>
    <n v="473"/>
    <s v="id Software"/>
    <x v="1"/>
    <x v="1"/>
    <x v="0"/>
    <n v="0"/>
    <n v="136"/>
    <n v="270"/>
    <n v="0.504"/>
    <d v="2026-07-07T00:00:00"/>
    <d v="2026-07-01T00:00:00"/>
    <s v="Day"/>
    <s v="Jul 2026"/>
    <s v="Jul 7"/>
    <x v="1"/>
    <x v="1"/>
    <s v="2 - 100-499"/>
    <n v="0"/>
    <n v="1"/>
    <n v="1"/>
    <n v="0"/>
    <s v="News media"/>
    <s v="gamedeveloper.com"/>
    <s v="https://www.gamedeveloper.com/business/report-around-half-of-the-id-software-team-have-been-laid-off"/>
  </r>
  <r>
    <n v="474"/>
    <s v="monday.com"/>
    <x v="1"/>
    <x v="1"/>
    <x v="1"/>
    <n v="1"/>
    <n v="620"/>
    <n v="3100"/>
    <n v="0.2"/>
    <d v="2026-07-22T00:00:00"/>
    <d v="2026-07-01T00:00:00"/>
    <s v="Day"/>
    <s v="Jul 2026"/>
    <s v="Jul 22"/>
    <x v="3"/>
    <x v="3"/>
    <s v="3 - 500-999"/>
    <n v="0"/>
    <n v="1"/>
    <n v="1"/>
    <n v="0"/>
    <s v="News media"/>
    <s v="en.globes.co.il"/>
    <s v="https://en.globes.co.il/en/article-mondaycom-to-lay-off-620-as-it-adapts-to-ai-1001550113"/>
  </r>
  <r>
    <n v="475"/>
    <s v="xAI"/>
    <x v="1"/>
    <x v="1"/>
    <x v="0"/>
    <n v="0"/>
    <n v="50"/>
    <n v="500"/>
    <n v="0.1"/>
    <d v="2026-02-01T00:00:00"/>
    <d v="2026-02-01T00:00:00"/>
    <s v="Month"/>
    <s v="Feb 2026"/>
    <s v="Feb 2026"/>
    <x v="1"/>
    <x v="3"/>
    <s v="1 - &lt;100"/>
    <n v="0"/>
    <n v="1"/>
    <n v="1"/>
    <n v="0"/>
    <s v="News media"/>
    <s v="futurism.com"/>
    <s v="https://futurism.com/artificial-intelligence/elon-musk-orders-layoffs-xai-coding"/>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8963789-E7D4-4A89-B691-AA7AE2EFE0E6}" name="ptReasonByIndustry" cacheId="7"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B6:H21" firstHeaderRow="1" firstDataRow="2" firstDataCol="1"/>
  <pivotFields count="24">
    <pivotField compact="0" outline="0" showAll="0"/>
    <pivotField compact="0" outline="0" showAll="0"/>
    <pivotField name="Industry" axis="axisRow" compact="0" outline="0" showAll="0" sortType="descending">
      <items count="14">
        <item x="4"/>
        <item x="6"/>
        <item x="9"/>
        <item x="12"/>
        <item x="11"/>
        <item x="3"/>
        <item x="2"/>
        <item x="0"/>
        <item x="5"/>
        <item x="8"/>
        <item x="7"/>
        <item x="1"/>
        <item x="10"/>
        <item t="default"/>
      </items>
      <autoSortScope>
        <pivotArea dataOnly="0" outline="0" fieldPosition="0">
          <references count="1">
            <reference field="4294967294" count="1" selected="0">
              <x v="0"/>
            </reference>
          </references>
        </pivotArea>
      </autoSortScope>
    </pivotField>
    <pivotField compact="0" outline="0" showAll="0">
      <items count="3">
        <item x="0"/>
        <item x="1"/>
        <item t="default"/>
      </items>
    </pivotField>
    <pivotField name="Stated reason" axis="axisCol" compact="0" outline="0" showAll="0">
      <items count="6">
        <item x="1"/>
        <item x="2"/>
        <item x="4"/>
        <item x="0"/>
        <item x="3"/>
        <item t="default"/>
      </items>
    </pivotField>
    <pivotField compact="0" outline="0" showAll="0"/>
    <pivotField dataField="1" compact="0" numFmtId="3" outline="0" showAll="0"/>
    <pivotField compact="0" numFmtId="3" outline="0" showAll="0"/>
    <pivotField compact="0" numFmtId="165" outline="0" showAll="0"/>
    <pivotField compact="0" outline="0" showAll="0"/>
    <pivotField compact="0" outline="0" showAll="0"/>
    <pivotField compact="0" outline="0" showAll="0"/>
    <pivotField compact="0" outline="0" showAll="0"/>
    <pivotField compact="0" outline="0" showAll="0"/>
    <pivotField compact="0" outline="0" showAll="0">
      <items count="6">
        <item x="1"/>
        <item x="3"/>
        <item x="0"/>
        <item x="4"/>
        <item x="2"/>
        <item t="default"/>
      </items>
    </pivotField>
    <pivotField compact="0" outline="0" showAll="0">
      <items count="6">
        <item x="2"/>
        <item x="0"/>
        <item x="3"/>
        <item x="1"/>
        <item x="4"/>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2"/>
  </rowFields>
  <rowItems count="14">
    <i>
      <x/>
    </i>
    <i>
      <x v="11"/>
    </i>
    <i>
      <x v="5"/>
    </i>
    <i>
      <x v="1"/>
    </i>
    <i>
      <x v="8"/>
    </i>
    <i>
      <x v="9"/>
    </i>
    <i>
      <x v="7"/>
    </i>
    <i>
      <x v="12"/>
    </i>
    <i>
      <x v="10"/>
    </i>
    <i>
      <x v="2"/>
    </i>
    <i>
      <x v="4"/>
    </i>
    <i>
      <x v="3"/>
    </i>
    <i>
      <x v="6"/>
    </i>
    <i t="grand">
      <x/>
    </i>
  </rowItems>
  <colFields count="1">
    <field x="4"/>
  </colFields>
  <colItems count="6">
    <i>
      <x/>
    </i>
    <i>
      <x v="1"/>
    </i>
    <i>
      <x v="2"/>
    </i>
    <i>
      <x v="3"/>
    </i>
    <i>
      <x v="4"/>
    </i>
    <i t="grand">
      <x/>
    </i>
  </colItems>
  <dataFields count="1">
    <dataField name="Jobs cut" fld="6" baseField="0" baseItem="0"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ctor_group" xr10:uid="{42A929FC-39B7-45CE-A196-4ACB798172E0}" sourceName="sector_group">
  <pivotTables>
    <pivotTable tabId="6" name="ptReasonByIndustry"/>
  </pivotTables>
  <data>
    <tabular pivotCacheId="1517073598">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mpany_size_band" xr10:uid="{6C250E49-E4DC-4ADB-8DCD-8572A5C7E4BE}" sourceName="company_size_band">
  <pivotTables>
    <pivotTable tabId="6" name="ptReasonByIndustry"/>
  </pivotTables>
  <data>
    <tabular pivotCacheId="1517073598">
      <items count="5">
        <i x="1" s="1"/>
        <i x="3" s="1"/>
        <i x="0" s="1"/>
        <i x="4"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verity_band" xr10:uid="{43EA3A30-AD93-4336-B2A2-9ED8AE3B6D3A}" sourceName="severity_band">
  <pivotTables>
    <pivotTable tabId="6" name="ptReasonByIndustry"/>
  </pivotTables>
  <data>
    <tabular pivotCacheId="1517073598">
      <items count="5">
        <i x="2" s="1"/>
        <i x="0" s="1"/>
        <i x="3" s="1"/>
        <i x="1"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lSector" xr10:uid="{0E6E014C-D7CA-4607-B59E-A27BBCFF7FFA}" cache="Slicer_sector_group" caption="Sector" rowHeight="241300"/>
  <slicer name="slSize" xr10:uid="{A2950271-902E-444E-935A-1E6291522585}" cache="Slicer_company_size_band" caption="Company size" rowHeight="241300"/>
  <slicer name="slSeverity" xr10:uid="{6BFEF0C6-E034-4C57-BFC1-2FDCC9264E9F}" cache="Slicer_severity_band" caption="Share of workforce cut"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Layoffs" displayName="tblLayoffs" ref="A1:X476">
  <autoFilter ref="A1:X476" xr:uid="{00000000-0009-0000-0100-000001000000}"/>
  <tableColumns count="24">
    <tableColumn id="1" xr3:uid="{00000000-0010-0000-0000-000001000000}" name="event_id"/>
    <tableColumn id="2" xr3:uid="{00000000-0010-0000-0000-000002000000}" name="company"/>
    <tableColumn id="3" xr3:uid="{00000000-0010-0000-0000-000003000000}" name="industry"/>
    <tableColumn id="4" xr3:uid="{00000000-0010-0000-0000-000004000000}" name="sector_group"/>
    <tableColumn id="5" xr3:uid="{00000000-0010-0000-0000-000005000000}" name="category_label"/>
    <tableColumn id="6" xr3:uid="{00000000-0010-0000-0000-000006000000}" name="is_ai_driven"/>
    <tableColumn id="7" xr3:uid="{00000000-0010-0000-0000-000007000000}" name="people_cut"/>
    <tableColumn id="8" xr3:uid="{00000000-0010-0000-0000-000008000000}" name="total_workforce"/>
    <tableColumn id="9" xr3:uid="{00000000-0010-0000-0000-000009000000}" name="workforce_pct"/>
    <tableColumn id="10" xr3:uid="{00000000-0010-0000-0000-00000A000000}" name="event_date"/>
    <tableColumn id="11" xr3:uid="{00000000-0010-0000-0000-00000B000000}" name="month_start"/>
    <tableColumn id="12" xr3:uid="{00000000-0010-0000-0000-00000C000000}" name="date_precision"/>
    <tableColumn id="13" xr3:uid="{00000000-0010-0000-0000-00000D000000}" name="period_label"/>
    <tableColumn id="14" xr3:uid="{00000000-0010-0000-0000-00000E000000}" name="date_raw"/>
    <tableColumn id="15" xr3:uid="{00000000-0010-0000-0000-00000F000000}" name="company_size_band"/>
    <tableColumn id="16" xr3:uid="{00000000-0010-0000-0000-000010000000}" name="severity_band"/>
    <tableColumn id="17" xr3:uid="{00000000-0010-0000-0000-000011000000}" name="layoff_size_band"/>
    <tableColumn id="18" xr3:uid="{00000000-0010-0000-0000-000012000000}" name="is_shutdown"/>
    <tableColumn id="19" xr3:uid="{00000000-0010-0000-0000-000013000000}" name="company_event_no"/>
    <tableColumn id="20" xr3:uid="{00000000-0010-0000-0000-000014000000}" name="company_event_count"/>
    <tableColumn id="21" xr3:uid="{00000000-0010-0000-0000-000015000000}" name="is_repeat_layoffer"/>
    <tableColumn id="22" xr3:uid="{00000000-0010-0000-0000-000016000000}" name="source_type"/>
    <tableColumn id="23" xr3:uid="{00000000-0010-0000-0000-000017000000}" name="source_domain"/>
    <tableColumn id="24" xr3:uid="{00000000-0010-0000-0000-000018000000}" name="source_url"/>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B14"/>
  <sheetViews>
    <sheetView showGridLines="0" workbookViewId="0"/>
  </sheetViews>
  <sheetFormatPr defaultRowHeight="15" x14ac:dyDescent="0.25"/>
  <cols>
    <col min="1" max="1" width="3" customWidth="1"/>
    <col min="2" max="2" width="110" customWidth="1"/>
  </cols>
  <sheetData>
    <row r="2" spans="2:2" ht="26.25" x14ac:dyDescent="0.4">
      <c r="B2" s="1" t="s">
        <v>44</v>
      </c>
    </row>
    <row r="3" spans="2:2" x14ac:dyDescent="0.25">
      <c r="B3" s="2" t="s">
        <v>45</v>
      </c>
    </row>
    <row r="5" spans="2:2" ht="15.75" x14ac:dyDescent="0.25">
      <c r="B5" s="3" t="s">
        <v>46</v>
      </c>
    </row>
    <row r="6" spans="2:2" x14ac:dyDescent="0.25">
      <c r="B6" s="4" t="s">
        <v>47</v>
      </c>
    </row>
    <row r="7" spans="2:2" x14ac:dyDescent="0.25">
      <c r="B7" s="4" t="s">
        <v>48</v>
      </c>
    </row>
    <row r="8" spans="2:2" x14ac:dyDescent="0.25">
      <c r="B8" s="4" t="s">
        <v>49</v>
      </c>
    </row>
    <row r="9" spans="2:2" x14ac:dyDescent="0.25">
      <c r="B9" s="4" t="s">
        <v>50</v>
      </c>
    </row>
    <row r="10" spans="2:2" x14ac:dyDescent="0.25">
      <c r="B10" s="4" t="s">
        <v>51</v>
      </c>
    </row>
    <row r="12" spans="2:2" x14ac:dyDescent="0.25">
      <c r="B12" s="5" t="s">
        <v>52</v>
      </c>
    </row>
    <row r="14" spans="2:2" x14ac:dyDescent="0.25">
      <c r="B14" s="6" t="s">
        <v>53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N39"/>
  <sheetViews>
    <sheetView showGridLines="0" tabSelected="1" workbookViewId="0">
      <pane ySplit="9" topLeftCell="A10" activePane="bottomLeft" state="frozen"/>
      <selection pane="bottomLeft"/>
    </sheetView>
  </sheetViews>
  <sheetFormatPr defaultRowHeight="15" x14ac:dyDescent="0.25"/>
  <cols>
    <col min="1" max="1" width="2" customWidth="1"/>
    <col min="2" max="2" width="26" customWidth="1"/>
    <col min="3" max="6" width="14" customWidth="1"/>
    <col min="7" max="7" width="3" customWidth="1"/>
    <col min="8" max="8" width="30" customWidth="1"/>
    <col min="9" max="11" width="13" customWidth="1"/>
    <col min="12" max="12" width="12" customWidth="1"/>
    <col min="13" max="13" width="3" customWidth="1"/>
    <col min="14" max="14" width="3" hidden="1" customWidth="1"/>
  </cols>
  <sheetData>
    <row r="1" spans="2:14" x14ac:dyDescent="0.25">
      <c r="N1" t="s">
        <v>0</v>
      </c>
    </row>
    <row r="2" spans="2:14" ht="23.25" x14ac:dyDescent="0.35">
      <c r="B2" s="7" t="s">
        <v>1</v>
      </c>
      <c r="N2" t="s">
        <v>2</v>
      </c>
    </row>
    <row r="3" spans="2:14" x14ac:dyDescent="0.25">
      <c r="B3" s="8" t="s">
        <v>3</v>
      </c>
      <c r="N3" t="s">
        <v>4</v>
      </c>
    </row>
    <row r="4" spans="2:14" x14ac:dyDescent="0.25">
      <c r="N4" t="s">
        <v>5</v>
      </c>
    </row>
    <row r="5" spans="2:14" x14ac:dyDescent="0.25">
      <c r="B5" s="9" t="s">
        <v>6</v>
      </c>
      <c r="C5" s="39" t="s">
        <v>0</v>
      </c>
      <c r="D5" s="40"/>
      <c r="E5" s="40"/>
      <c r="F5" s="10" t="str">
        <f>IF(C5="All","*",C5)</f>
        <v>*</v>
      </c>
      <c r="N5" t="s">
        <v>7</v>
      </c>
    </row>
    <row r="6" spans="2:14" x14ac:dyDescent="0.25">
      <c r="N6" t="s">
        <v>8</v>
      </c>
    </row>
    <row r="7" spans="2:14" x14ac:dyDescent="0.25">
      <c r="B7" s="11" t="s">
        <v>9</v>
      </c>
      <c r="C7" s="11" t="s">
        <v>10</v>
      </c>
      <c r="D7" s="11" t="s">
        <v>11</v>
      </c>
      <c r="E7" s="11" t="s">
        <v>12</v>
      </c>
      <c r="F7" s="11" t="s">
        <v>13</v>
      </c>
      <c r="H7" s="11" t="s">
        <v>14</v>
      </c>
      <c r="N7" t="s">
        <v>15</v>
      </c>
    </row>
    <row r="8" spans="2:14" ht="20.25" x14ac:dyDescent="0.3">
      <c r="B8" s="12" t="str">
        <f>C5</f>
        <v>All</v>
      </c>
      <c r="C8" s="13">
        <f>COUNTIFS(d_industry,$F$5)</f>
        <v>475</v>
      </c>
      <c r="D8" s="13">
        <f>SUMIFS(d_people_cut,d_industry,$F$5)</f>
        <v>672731</v>
      </c>
      <c r="E8" s="14">
        <f>SUMIFS(d_people_cut,d_industry,$F$5,d_is_ai_driven,1)</f>
        <v>258829</v>
      </c>
      <c r="F8" s="15">
        <f>IFERROR(E8/D8,0)</f>
        <v>0.38474367912285889</v>
      </c>
      <c r="H8" s="13">
        <f>IFERROR(D8/C8,0)</f>
        <v>1416.2757894736842</v>
      </c>
      <c r="I8" s="16"/>
      <c r="J8" s="16"/>
      <c r="K8" s="16"/>
      <c r="L8" s="16"/>
      <c r="N8" t="s">
        <v>16</v>
      </c>
    </row>
    <row r="9" spans="2:14" x14ac:dyDescent="0.25">
      <c r="N9" t="s">
        <v>17</v>
      </c>
    </row>
    <row r="10" spans="2:14" ht="15.75" x14ac:dyDescent="0.25">
      <c r="B10" s="3" t="s">
        <v>18</v>
      </c>
      <c r="H10" s="3" t="s">
        <v>19</v>
      </c>
      <c r="N10" t="s">
        <v>20</v>
      </c>
    </row>
    <row r="11" spans="2:14" ht="26.25" x14ac:dyDescent="0.25">
      <c r="B11" s="17" t="s">
        <v>21</v>
      </c>
      <c r="C11" s="18" t="s">
        <v>22</v>
      </c>
      <c r="D11" s="18" t="s">
        <v>11</v>
      </c>
      <c r="E11" s="18" t="s">
        <v>23</v>
      </c>
      <c r="F11" s="18" t="s">
        <v>24</v>
      </c>
      <c r="H11" s="17" t="s">
        <v>25</v>
      </c>
      <c r="I11" s="18" t="s">
        <v>11</v>
      </c>
      <c r="J11" s="18" t="s">
        <v>26</v>
      </c>
      <c r="K11" s="18" t="s">
        <v>27</v>
      </c>
      <c r="L11" s="18" t="s">
        <v>28</v>
      </c>
      <c r="N11" t="s">
        <v>29</v>
      </c>
    </row>
    <row r="12" spans="2:14" x14ac:dyDescent="0.25">
      <c r="B12" s="19" t="s">
        <v>30</v>
      </c>
      <c r="C12" s="20">
        <f>COUNTIFS(d_industry,$F$5,d_category_label,B12)</f>
        <v>85</v>
      </c>
      <c r="D12" s="20">
        <f>SUMIFS(d_people_cut,d_industry,$F$5,d_category_label,B12)</f>
        <v>258829</v>
      </c>
      <c r="E12" s="21">
        <f>IFERROR(D12/$D$17,0)</f>
        <v>0.38474367912285889</v>
      </c>
      <c r="F12" s="20">
        <f t="shared" ref="F12:F17" si="0">IFERROR(D12/C12,0)</f>
        <v>3045.0470588235294</v>
      </c>
      <c r="H12" s="22">
        <v>46023</v>
      </c>
      <c r="I12" s="20">
        <f t="shared" ref="I12:I21" si="1">SUMIFS(d_people_cut,d_industry,$F$5,d_month_start,H12)</f>
        <v>89442</v>
      </c>
      <c r="J12" s="20">
        <f t="shared" ref="J12:J21" si="2">SUMIFS(d_people_cut,d_industry,$F$5,d_month_start,H12,d_is_ai_driven,1)</f>
        <v>52325</v>
      </c>
      <c r="K12" s="20">
        <f t="shared" ref="K12:K21" si="3">I12-J12</f>
        <v>37117</v>
      </c>
      <c r="L12" s="21">
        <f t="shared" ref="L12:L21" si="4">IFERROR(J12/I12,0)</f>
        <v>0.58501598801457932</v>
      </c>
      <c r="N12" t="s">
        <v>31</v>
      </c>
    </row>
    <row r="13" spans="2:14" x14ac:dyDescent="0.25">
      <c r="B13" s="19" t="s">
        <v>32</v>
      </c>
      <c r="C13" s="20">
        <f>COUNTIFS(d_industry,$F$5,d_category_label,B13)</f>
        <v>261</v>
      </c>
      <c r="D13" s="20">
        <f>SUMIFS(d_people_cut,d_industry,$F$5,d_category_label,B13)</f>
        <v>202996</v>
      </c>
      <c r="E13" s="21">
        <f>IFERROR(D13/$D$17,0)</f>
        <v>0.30174913895747335</v>
      </c>
      <c r="F13" s="20">
        <f t="shared" si="0"/>
        <v>777.76245210727973</v>
      </c>
      <c r="H13" s="22">
        <v>46054</v>
      </c>
      <c r="I13" s="20">
        <f t="shared" si="1"/>
        <v>36020</v>
      </c>
      <c r="J13" s="20">
        <f t="shared" si="2"/>
        <v>23812</v>
      </c>
      <c r="K13" s="20">
        <f t="shared" si="3"/>
        <v>12208</v>
      </c>
      <c r="L13" s="21">
        <f t="shared" si="4"/>
        <v>0.66107717934480847</v>
      </c>
      <c r="N13" t="s">
        <v>33</v>
      </c>
    </row>
    <row r="14" spans="2:14" x14ac:dyDescent="0.25">
      <c r="B14" s="19" t="s">
        <v>34</v>
      </c>
      <c r="C14" s="20">
        <f>COUNTIFS(d_industry,$F$5,d_category_label,B14)</f>
        <v>36</v>
      </c>
      <c r="D14" s="20">
        <f>SUMIFS(d_people_cut,d_industry,$F$5,d_category_label,B14)</f>
        <v>88143</v>
      </c>
      <c r="E14" s="21">
        <f>IFERROR(D14/$D$17,0)</f>
        <v>0.13102265244206079</v>
      </c>
      <c r="F14" s="20">
        <f t="shared" si="0"/>
        <v>2448.4166666666665</v>
      </c>
      <c r="H14" s="22">
        <v>46082</v>
      </c>
      <c r="I14" s="20">
        <f t="shared" si="1"/>
        <v>142332</v>
      </c>
      <c r="J14" s="20">
        <f t="shared" si="2"/>
        <v>78870</v>
      </c>
      <c r="K14" s="20">
        <f t="shared" si="3"/>
        <v>63462</v>
      </c>
      <c r="L14" s="21">
        <f t="shared" si="4"/>
        <v>0.5541269707444566</v>
      </c>
      <c r="N14" t="s">
        <v>35</v>
      </c>
    </row>
    <row r="15" spans="2:14" x14ac:dyDescent="0.25">
      <c r="B15" s="19" t="s">
        <v>36</v>
      </c>
      <c r="C15" s="20">
        <f>COUNTIFS(d_industry,$F$5,d_category_label,B15)</f>
        <v>67</v>
      </c>
      <c r="D15" s="20">
        <f>SUMIFS(d_people_cut,d_industry,$F$5,d_category_label,B15)</f>
        <v>87145</v>
      </c>
      <c r="E15" s="21">
        <f>IFERROR(D15/$D$17,0)</f>
        <v>0.12953914714796849</v>
      </c>
      <c r="F15" s="20">
        <f t="shared" si="0"/>
        <v>1300.6716417910447</v>
      </c>
      <c r="H15" s="22">
        <v>46113</v>
      </c>
      <c r="I15" s="20">
        <f t="shared" si="1"/>
        <v>43388</v>
      </c>
      <c r="J15" s="20">
        <f t="shared" si="2"/>
        <v>26080</v>
      </c>
      <c r="K15" s="20">
        <f t="shared" si="3"/>
        <v>17308</v>
      </c>
      <c r="L15" s="21">
        <f t="shared" si="4"/>
        <v>0.60108785839402601</v>
      </c>
    </row>
    <row r="16" spans="2:14" x14ac:dyDescent="0.25">
      <c r="B16" s="19" t="s">
        <v>37</v>
      </c>
      <c r="C16" s="20">
        <f>COUNTIFS(d_industry,$F$5,d_category_label,B16)</f>
        <v>26</v>
      </c>
      <c r="D16" s="20">
        <f>SUMIFS(d_people_cut,d_industry,$F$5,d_category_label,B16)</f>
        <v>35618</v>
      </c>
      <c r="E16" s="21">
        <f>IFERROR(D16/$D$17,0)</f>
        <v>5.2945382329638441E-2</v>
      </c>
      <c r="F16" s="20">
        <f t="shared" si="0"/>
        <v>1369.9230769230769</v>
      </c>
      <c r="H16" s="22">
        <v>46143</v>
      </c>
      <c r="I16" s="20">
        <f t="shared" si="1"/>
        <v>83311</v>
      </c>
      <c r="J16" s="20">
        <f t="shared" si="2"/>
        <v>33256</v>
      </c>
      <c r="K16" s="20">
        <f t="shared" si="3"/>
        <v>50055</v>
      </c>
      <c r="L16" s="21">
        <f t="shared" si="4"/>
        <v>0.39917897996663104</v>
      </c>
    </row>
    <row r="17" spans="2:12" x14ac:dyDescent="0.25">
      <c r="B17" s="23" t="s">
        <v>38</v>
      </c>
      <c r="C17" s="24">
        <f>SUM(C12:C16)</f>
        <v>475</v>
      </c>
      <c r="D17" s="24">
        <f>SUM(D12:D16)</f>
        <v>672731</v>
      </c>
      <c r="E17" s="25">
        <f>SUM(E12:E16)</f>
        <v>1</v>
      </c>
      <c r="F17" s="24">
        <f t="shared" si="0"/>
        <v>1416.2757894736842</v>
      </c>
      <c r="H17" s="22">
        <v>46174</v>
      </c>
      <c r="I17" s="20">
        <f t="shared" si="1"/>
        <v>47883</v>
      </c>
      <c r="J17" s="20">
        <f t="shared" si="2"/>
        <v>2366</v>
      </c>
      <c r="K17" s="20">
        <f t="shared" si="3"/>
        <v>45517</v>
      </c>
      <c r="L17" s="21">
        <f t="shared" si="4"/>
        <v>4.9412108681578013E-2</v>
      </c>
    </row>
    <row r="18" spans="2:12" x14ac:dyDescent="0.25">
      <c r="B18" s="26" t="s">
        <v>39</v>
      </c>
      <c r="D18" s="26" t="str">
        <f>IF(D17=D8,"OK","MISMATCH")</f>
        <v>OK</v>
      </c>
      <c r="H18" s="22">
        <v>46204</v>
      </c>
      <c r="I18" s="20">
        <f t="shared" si="1"/>
        <v>40165</v>
      </c>
      <c r="J18" s="20">
        <f t="shared" si="2"/>
        <v>9493</v>
      </c>
      <c r="K18" s="20">
        <f t="shared" si="3"/>
        <v>30672</v>
      </c>
      <c r="L18" s="21">
        <f t="shared" si="4"/>
        <v>0.23635005601892195</v>
      </c>
    </row>
    <row r="19" spans="2:12" x14ac:dyDescent="0.25">
      <c r="H19" s="22">
        <v>46235</v>
      </c>
      <c r="I19" s="20">
        <f t="shared" si="1"/>
        <v>21423</v>
      </c>
      <c r="J19" s="20">
        <f t="shared" si="2"/>
        <v>260</v>
      </c>
      <c r="K19" s="20">
        <f t="shared" si="3"/>
        <v>21163</v>
      </c>
      <c r="L19" s="21">
        <f t="shared" si="4"/>
        <v>1.2136488820426644E-2</v>
      </c>
    </row>
    <row r="20" spans="2:12" x14ac:dyDescent="0.25">
      <c r="H20" s="22">
        <v>46266</v>
      </c>
      <c r="I20" s="20">
        <f t="shared" si="1"/>
        <v>101616</v>
      </c>
      <c r="J20" s="20">
        <f t="shared" si="2"/>
        <v>707</v>
      </c>
      <c r="K20" s="20">
        <f t="shared" si="3"/>
        <v>100909</v>
      </c>
      <c r="L20" s="21">
        <f t="shared" si="4"/>
        <v>6.9575657376791059E-3</v>
      </c>
    </row>
    <row r="21" spans="2:12" x14ac:dyDescent="0.25">
      <c r="H21" s="22">
        <v>46296</v>
      </c>
      <c r="I21" s="20">
        <f t="shared" si="1"/>
        <v>2331</v>
      </c>
      <c r="J21" s="20">
        <f t="shared" si="2"/>
        <v>660</v>
      </c>
      <c r="K21" s="20">
        <f t="shared" si="3"/>
        <v>1671</v>
      </c>
      <c r="L21" s="21">
        <f t="shared" si="4"/>
        <v>0.28314028314028317</v>
      </c>
    </row>
    <row r="22" spans="2:12" x14ac:dyDescent="0.25">
      <c r="H22" s="27" t="s">
        <v>40</v>
      </c>
      <c r="I22" s="28">
        <f>D8-SUM(I12:I21)</f>
        <v>64820</v>
      </c>
      <c r="J22" s="29"/>
      <c r="K22" s="29"/>
      <c r="L22" s="30"/>
    </row>
    <row r="23" spans="2:12" ht="15.75" x14ac:dyDescent="0.25">
      <c r="B23" s="3" t="s">
        <v>41</v>
      </c>
    </row>
    <row r="24" spans="2:12" x14ac:dyDescent="0.25">
      <c r="B24" s="17" t="s">
        <v>42</v>
      </c>
      <c r="C24" s="18" t="s">
        <v>22</v>
      </c>
      <c r="D24" s="18" t="s">
        <v>11</v>
      </c>
      <c r="E24" s="18" t="s">
        <v>12</v>
      </c>
      <c r="F24" s="18" t="s">
        <v>28</v>
      </c>
    </row>
    <row r="25" spans="2:12" x14ac:dyDescent="0.25">
      <c r="B25" s="19" t="s">
        <v>2</v>
      </c>
      <c r="C25" s="20">
        <f t="shared" ref="C25:C37" si="5">COUNTIFS(d_industry,B25)</f>
        <v>50</v>
      </c>
      <c r="D25" s="20">
        <f t="shared" ref="D25:D37" si="6">SUMIFS(d_people_cut,d_industry,B25)</f>
        <v>199848</v>
      </c>
      <c r="E25" s="20">
        <f t="shared" ref="E25:E37" si="7">SUMIFS(d_people_cut,d_industry,B25,d_is_ai_driven,1)</f>
        <v>32340</v>
      </c>
      <c r="F25" s="21">
        <f t="shared" ref="F25:F37" si="8">IFERROR(E25/D25,0)</f>
        <v>0.1618229854689564</v>
      </c>
    </row>
    <row r="26" spans="2:12" x14ac:dyDescent="0.25">
      <c r="B26" s="19" t="s">
        <v>4</v>
      </c>
      <c r="C26" s="20">
        <f t="shared" si="5"/>
        <v>32</v>
      </c>
      <c r="D26" s="20">
        <f t="shared" si="6"/>
        <v>51182</v>
      </c>
      <c r="E26" s="20">
        <f t="shared" si="7"/>
        <v>16000</v>
      </c>
      <c r="F26" s="21">
        <f t="shared" si="8"/>
        <v>0.3126099019186433</v>
      </c>
    </row>
    <row r="27" spans="2:12" x14ac:dyDescent="0.25">
      <c r="B27" s="19" t="s">
        <v>5</v>
      </c>
      <c r="C27" s="20">
        <f t="shared" si="5"/>
        <v>21</v>
      </c>
      <c r="D27" s="20">
        <f t="shared" si="6"/>
        <v>16347</v>
      </c>
      <c r="E27" s="20">
        <f t="shared" si="7"/>
        <v>13380</v>
      </c>
      <c r="F27" s="21">
        <f t="shared" si="8"/>
        <v>0.81849880712057255</v>
      </c>
    </row>
    <row r="28" spans="2:12" x14ac:dyDescent="0.25">
      <c r="B28" s="19" t="s">
        <v>7</v>
      </c>
      <c r="C28" s="20">
        <f t="shared" si="5"/>
        <v>7</v>
      </c>
      <c r="D28" s="20">
        <f t="shared" si="6"/>
        <v>1758</v>
      </c>
      <c r="E28" s="20">
        <f t="shared" si="7"/>
        <v>0</v>
      </c>
      <c r="F28" s="21">
        <f t="shared" si="8"/>
        <v>0</v>
      </c>
    </row>
    <row r="29" spans="2:12" x14ac:dyDescent="0.25">
      <c r="B29" s="19" t="s">
        <v>8</v>
      </c>
      <c r="C29" s="20">
        <f t="shared" si="5"/>
        <v>3</v>
      </c>
      <c r="D29" s="20">
        <f t="shared" si="6"/>
        <v>9300</v>
      </c>
      <c r="E29" s="20">
        <f t="shared" si="7"/>
        <v>1300</v>
      </c>
      <c r="F29" s="21">
        <f t="shared" si="8"/>
        <v>0.13978494623655913</v>
      </c>
    </row>
    <row r="30" spans="2:12" x14ac:dyDescent="0.25">
      <c r="B30" s="19" t="s">
        <v>15</v>
      </c>
      <c r="C30" s="20">
        <f t="shared" si="5"/>
        <v>39</v>
      </c>
      <c r="D30" s="20">
        <f t="shared" si="6"/>
        <v>77721</v>
      </c>
      <c r="E30" s="20">
        <f t="shared" si="7"/>
        <v>56235</v>
      </c>
      <c r="F30" s="21">
        <f t="shared" si="8"/>
        <v>0.72354961979387811</v>
      </c>
    </row>
    <row r="31" spans="2:12" x14ac:dyDescent="0.25">
      <c r="B31" s="19" t="s">
        <v>16</v>
      </c>
      <c r="C31" s="20">
        <f t="shared" si="5"/>
        <v>5</v>
      </c>
      <c r="D31" s="20">
        <f t="shared" si="6"/>
        <v>753</v>
      </c>
      <c r="E31" s="20">
        <f t="shared" si="7"/>
        <v>0</v>
      </c>
      <c r="F31" s="21">
        <f t="shared" si="8"/>
        <v>0</v>
      </c>
    </row>
    <row r="32" spans="2:12" x14ac:dyDescent="0.25">
      <c r="B32" s="19" t="s">
        <v>17</v>
      </c>
      <c r="C32" s="20">
        <f t="shared" si="5"/>
        <v>67</v>
      </c>
      <c r="D32" s="20">
        <f t="shared" si="6"/>
        <v>28057</v>
      </c>
      <c r="E32" s="20">
        <f t="shared" si="7"/>
        <v>0</v>
      </c>
      <c r="F32" s="21">
        <f t="shared" si="8"/>
        <v>0</v>
      </c>
    </row>
    <row r="33" spans="2:6" x14ac:dyDescent="0.25">
      <c r="B33" s="19" t="s">
        <v>20</v>
      </c>
      <c r="C33" s="20">
        <f t="shared" si="5"/>
        <v>51</v>
      </c>
      <c r="D33" s="20">
        <f t="shared" si="6"/>
        <v>32041</v>
      </c>
      <c r="E33" s="20">
        <f t="shared" si="7"/>
        <v>4500</v>
      </c>
      <c r="F33" s="21">
        <f t="shared" si="8"/>
        <v>0.14044505477357136</v>
      </c>
    </row>
    <row r="34" spans="2:6" x14ac:dyDescent="0.25">
      <c r="B34" s="19" t="s">
        <v>29</v>
      </c>
      <c r="C34" s="20">
        <f t="shared" si="5"/>
        <v>46</v>
      </c>
      <c r="D34" s="20">
        <f t="shared" si="6"/>
        <v>28417</v>
      </c>
      <c r="E34" s="20">
        <f t="shared" si="7"/>
        <v>2830</v>
      </c>
      <c r="F34" s="21">
        <f t="shared" si="8"/>
        <v>9.958827462434458E-2</v>
      </c>
    </row>
    <row r="35" spans="2:6" x14ac:dyDescent="0.25">
      <c r="B35" s="19" t="s">
        <v>31</v>
      </c>
      <c r="C35" s="20">
        <f t="shared" si="5"/>
        <v>35</v>
      </c>
      <c r="D35" s="20">
        <f t="shared" si="6"/>
        <v>24062</v>
      </c>
      <c r="E35" s="20">
        <f t="shared" si="7"/>
        <v>1875</v>
      </c>
      <c r="F35" s="21">
        <f t="shared" si="8"/>
        <v>7.792369711578423E-2</v>
      </c>
    </row>
    <row r="36" spans="2:6" x14ac:dyDescent="0.25">
      <c r="B36" s="19" t="s">
        <v>33</v>
      </c>
      <c r="C36" s="20">
        <f t="shared" si="5"/>
        <v>110</v>
      </c>
      <c r="D36" s="20">
        <f t="shared" si="6"/>
        <v>176547</v>
      </c>
      <c r="E36" s="20">
        <f t="shared" si="7"/>
        <v>129748</v>
      </c>
      <c r="F36" s="21">
        <f t="shared" si="8"/>
        <v>0.73492044611349949</v>
      </c>
    </row>
    <row r="37" spans="2:6" x14ac:dyDescent="0.25">
      <c r="B37" s="19" t="s">
        <v>35</v>
      </c>
      <c r="C37" s="20">
        <f t="shared" si="5"/>
        <v>9</v>
      </c>
      <c r="D37" s="20">
        <f t="shared" si="6"/>
        <v>26698</v>
      </c>
      <c r="E37" s="20">
        <f t="shared" si="7"/>
        <v>621</v>
      </c>
      <c r="F37" s="21">
        <f t="shared" si="8"/>
        <v>2.3260169301071242E-2</v>
      </c>
    </row>
    <row r="39" spans="2:6" x14ac:dyDescent="0.25">
      <c r="B39" s="27" t="s">
        <v>43</v>
      </c>
    </row>
  </sheetData>
  <mergeCells count="1">
    <mergeCell ref="C5:E5"/>
  </mergeCells>
  <conditionalFormatting sqref="F25:F37">
    <cfRule type="dataBar" priority="1">
      <dataBar>
        <cfvo type="num" val="0"/>
        <cfvo type="num" val="1"/>
        <color rgb="FFEB6834"/>
      </dataBar>
    </cfRule>
  </conditionalFormatting>
  <dataValidations count="1">
    <dataValidation type="list" sqref="C5" xr:uid="{00000000-0002-0000-0100-000000000000}">
      <formula1>$N$1:$N$14</formula1>
    </dataValidation>
  </dataValidations>
  <pageMargins left="0.75" right="0.75" top="1" bottom="1" header="0.5" footer="0.5"/>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79F2F8-1146-4930-887B-B8FCA297D1C3}">
  <dimension ref="B2:H21"/>
  <sheetViews>
    <sheetView showGridLines="0" workbookViewId="0"/>
  </sheetViews>
  <sheetFormatPr defaultRowHeight="15" x14ac:dyDescent="0.25"/>
  <cols>
    <col min="2" max="2" width="27.42578125" bestFit="1" customWidth="1"/>
    <col min="3" max="7" width="15.5703125" bestFit="1" customWidth="1"/>
    <col min="8" max="8" width="11.28515625" bestFit="1" customWidth="1"/>
  </cols>
  <sheetData>
    <row r="2" spans="2:8" ht="21" x14ac:dyDescent="0.35">
      <c r="B2" s="42" t="s">
        <v>1438</v>
      </c>
    </row>
    <row r="3" spans="2:8" x14ac:dyDescent="0.25">
      <c r="B3" s="43" t="s">
        <v>1439</v>
      </c>
    </row>
    <row r="6" spans="2:8" x14ac:dyDescent="0.25">
      <c r="B6" s="41" t="s">
        <v>11</v>
      </c>
      <c r="C6" s="41" t="s">
        <v>1437</v>
      </c>
    </row>
    <row r="7" spans="2:8" x14ac:dyDescent="0.25">
      <c r="B7" s="41" t="s">
        <v>42</v>
      </c>
      <c r="C7" t="s">
        <v>30</v>
      </c>
      <c r="D7" t="s">
        <v>36</v>
      </c>
      <c r="E7" t="s">
        <v>37</v>
      </c>
      <c r="F7" t="s">
        <v>32</v>
      </c>
      <c r="G7" t="s">
        <v>34</v>
      </c>
      <c r="H7" t="s">
        <v>1436</v>
      </c>
    </row>
    <row r="8" spans="2:8" x14ac:dyDescent="0.25">
      <c r="B8" t="s">
        <v>2</v>
      </c>
      <c r="C8" s="29">
        <v>32340</v>
      </c>
      <c r="D8" s="29">
        <v>27320</v>
      </c>
      <c r="E8" s="29">
        <v>169</v>
      </c>
      <c r="F8" s="29">
        <v>69737</v>
      </c>
      <c r="G8" s="29">
        <v>70282</v>
      </c>
      <c r="H8" s="29">
        <v>199848</v>
      </c>
    </row>
    <row r="9" spans="2:8" x14ac:dyDescent="0.25">
      <c r="B9" t="s">
        <v>33</v>
      </c>
      <c r="C9" s="29">
        <v>129748</v>
      </c>
      <c r="D9" s="29">
        <v>5704</v>
      </c>
      <c r="E9" s="29">
        <v>1180</v>
      </c>
      <c r="F9" s="29">
        <v>38265</v>
      </c>
      <c r="G9" s="29">
        <v>1650</v>
      </c>
      <c r="H9" s="29">
        <v>176547</v>
      </c>
    </row>
    <row r="10" spans="2:8" x14ac:dyDescent="0.25">
      <c r="B10" t="s">
        <v>15</v>
      </c>
      <c r="C10" s="29">
        <v>56235</v>
      </c>
      <c r="D10" s="29">
        <v>7750</v>
      </c>
      <c r="E10" s="29">
        <v>9369</v>
      </c>
      <c r="F10" s="29">
        <v>4167</v>
      </c>
      <c r="G10" s="29">
        <v>200</v>
      </c>
      <c r="H10" s="29">
        <v>77721</v>
      </c>
    </row>
    <row r="11" spans="2:8" x14ac:dyDescent="0.25">
      <c r="B11" t="s">
        <v>4</v>
      </c>
      <c r="C11" s="29">
        <v>16000</v>
      </c>
      <c r="D11" s="29">
        <v>20208</v>
      </c>
      <c r="E11" s="29">
        <v>3784</v>
      </c>
      <c r="F11" s="29">
        <v>5190</v>
      </c>
      <c r="G11" s="29">
        <v>6000</v>
      </c>
      <c r="H11" s="29">
        <v>51182</v>
      </c>
    </row>
    <row r="12" spans="2:8" x14ac:dyDescent="0.25">
      <c r="B12" t="s">
        <v>20</v>
      </c>
      <c r="C12" s="29">
        <v>4500</v>
      </c>
      <c r="D12" s="29">
        <v>2556</v>
      </c>
      <c r="E12" s="29">
        <v>390</v>
      </c>
      <c r="F12" s="29">
        <v>20946</v>
      </c>
      <c r="G12" s="29">
        <v>3649</v>
      </c>
      <c r="H12" s="29">
        <v>32041</v>
      </c>
    </row>
    <row r="13" spans="2:8" x14ac:dyDescent="0.25">
      <c r="B13" t="s">
        <v>29</v>
      </c>
      <c r="C13" s="29">
        <v>2830</v>
      </c>
      <c r="D13" s="29">
        <v>4000</v>
      </c>
      <c r="E13" s="29">
        <v>15880</v>
      </c>
      <c r="F13" s="29">
        <v>5636</v>
      </c>
      <c r="G13" s="29">
        <v>71</v>
      </c>
      <c r="H13" s="29">
        <v>28417</v>
      </c>
    </row>
    <row r="14" spans="2:8" x14ac:dyDescent="0.25">
      <c r="B14" t="s">
        <v>17</v>
      </c>
      <c r="C14" s="29"/>
      <c r="D14" s="29">
        <v>9887</v>
      </c>
      <c r="E14" s="29">
        <v>546</v>
      </c>
      <c r="F14" s="29">
        <v>13133</v>
      </c>
      <c r="G14" s="29">
        <v>4491</v>
      </c>
      <c r="H14" s="29">
        <v>28057</v>
      </c>
    </row>
    <row r="15" spans="2:8" x14ac:dyDescent="0.25">
      <c r="B15" t="s">
        <v>35</v>
      </c>
      <c r="C15" s="29">
        <v>621</v>
      </c>
      <c r="D15" s="29"/>
      <c r="E15" s="29"/>
      <c r="F15" s="29">
        <v>24477</v>
      </c>
      <c r="G15" s="29">
        <v>1600</v>
      </c>
      <c r="H15" s="29">
        <v>26698</v>
      </c>
    </row>
    <row r="16" spans="2:8" x14ac:dyDescent="0.25">
      <c r="B16" t="s">
        <v>31</v>
      </c>
      <c r="C16" s="29">
        <v>1875</v>
      </c>
      <c r="D16" s="29">
        <v>184</v>
      </c>
      <c r="E16" s="29">
        <v>3200</v>
      </c>
      <c r="F16" s="29">
        <v>18803</v>
      </c>
      <c r="G16" s="29"/>
      <c r="H16" s="29">
        <v>24062</v>
      </c>
    </row>
    <row r="17" spans="2:8" x14ac:dyDescent="0.25">
      <c r="B17" t="s">
        <v>5</v>
      </c>
      <c r="C17" s="29">
        <v>13380</v>
      </c>
      <c r="D17" s="29">
        <v>60</v>
      </c>
      <c r="E17" s="29">
        <v>1100</v>
      </c>
      <c r="F17" s="29">
        <v>1807</v>
      </c>
      <c r="G17" s="29"/>
      <c r="H17" s="29">
        <v>16347</v>
      </c>
    </row>
    <row r="18" spans="2:8" x14ac:dyDescent="0.25">
      <c r="B18" t="s">
        <v>8</v>
      </c>
      <c r="C18" s="29">
        <v>1300</v>
      </c>
      <c r="D18" s="29">
        <v>8000</v>
      </c>
      <c r="E18" s="29"/>
      <c r="F18" s="29"/>
      <c r="G18" s="29"/>
      <c r="H18" s="29">
        <v>9300</v>
      </c>
    </row>
    <row r="19" spans="2:8" x14ac:dyDescent="0.25">
      <c r="B19" t="s">
        <v>7</v>
      </c>
      <c r="C19" s="29"/>
      <c r="D19" s="29">
        <v>1451</v>
      </c>
      <c r="E19" s="29"/>
      <c r="F19" s="29">
        <v>307</v>
      </c>
      <c r="G19" s="29"/>
      <c r="H19" s="29">
        <v>1758</v>
      </c>
    </row>
    <row r="20" spans="2:8" x14ac:dyDescent="0.25">
      <c r="B20" t="s">
        <v>16</v>
      </c>
      <c r="C20" s="29"/>
      <c r="D20" s="29">
        <v>25</v>
      </c>
      <c r="E20" s="29"/>
      <c r="F20" s="29">
        <v>528</v>
      </c>
      <c r="G20" s="29">
        <v>200</v>
      </c>
      <c r="H20" s="29">
        <v>753</v>
      </c>
    </row>
    <row r="21" spans="2:8" x14ac:dyDescent="0.25">
      <c r="B21" t="s">
        <v>1436</v>
      </c>
      <c r="C21" s="29">
        <v>258829</v>
      </c>
      <c r="D21" s="29">
        <v>87145</v>
      </c>
      <c r="E21" s="29">
        <v>35618</v>
      </c>
      <c r="F21" s="29">
        <v>202996</v>
      </c>
      <c r="G21" s="29">
        <v>88143</v>
      </c>
      <c r="H21" s="29">
        <v>672731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X476"/>
  <sheetViews>
    <sheetView workbookViewId="0">
      <pane xSplit="2" ySplit="1" topLeftCell="C2" activePane="bottomRight" state="frozen"/>
      <selection pane="topRight"/>
      <selection pane="bottomLeft"/>
      <selection pane="bottomRight"/>
    </sheetView>
  </sheetViews>
  <sheetFormatPr defaultRowHeight="15" x14ac:dyDescent="0.25"/>
  <cols>
    <col min="1" max="1" width="10" customWidth="1"/>
    <col min="2" max="2" width="23.5703125" customWidth="1"/>
    <col min="3" max="3" width="29" customWidth="1"/>
    <col min="4" max="5" width="16" customWidth="1"/>
    <col min="6" max="6" width="14" customWidth="1"/>
    <col min="7" max="7" width="12" customWidth="1"/>
    <col min="8" max="8" width="17" customWidth="1"/>
    <col min="9" max="9" width="15" customWidth="1"/>
    <col min="10" max="10" width="12" customWidth="1"/>
    <col min="11" max="11" width="13" customWidth="1"/>
    <col min="12" max="12" width="16" customWidth="1"/>
    <col min="13" max="13" width="14" customWidth="1"/>
    <col min="14" max="14" width="10" customWidth="1"/>
    <col min="15" max="15" width="19" customWidth="1"/>
    <col min="16" max="16" width="15" customWidth="1"/>
    <col min="17" max="17" width="18" customWidth="1"/>
    <col min="18" max="18" width="13" customWidth="1"/>
    <col min="19" max="19" width="18" customWidth="1"/>
    <col min="20" max="20" width="21" customWidth="1"/>
    <col min="21" max="21" width="20" customWidth="1"/>
    <col min="22" max="22" width="22" customWidth="1"/>
    <col min="23" max="23" width="21" customWidth="1"/>
    <col min="24" max="24" width="45" customWidth="1"/>
  </cols>
  <sheetData>
    <row r="1" spans="1:24" x14ac:dyDescent="0.25">
      <c r="A1" s="31" t="s">
        <v>54</v>
      </c>
      <c r="B1" s="31" t="s">
        <v>55</v>
      </c>
      <c r="C1" s="31" t="s">
        <v>56</v>
      </c>
      <c r="D1" s="31" t="s">
        <v>57</v>
      </c>
      <c r="E1" s="31" t="s">
        <v>58</v>
      </c>
      <c r="F1" s="31" t="s">
        <v>59</v>
      </c>
      <c r="G1" s="31" t="s">
        <v>60</v>
      </c>
      <c r="H1" s="31" t="s">
        <v>61</v>
      </c>
      <c r="I1" s="31" t="s">
        <v>62</v>
      </c>
      <c r="J1" s="31" t="s">
        <v>63</v>
      </c>
      <c r="K1" s="31" t="s">
        <v>64</v>
      </c>
      <c r="L1" s="31" t="s">
        <v>65</v>
      </c>
      <c r="M1" s="31" t="s">
        <v>66</v>
      </c>
      <c r="N1" s="31" t="s">
        <v>67</v>
      </c>
      <c r="O1" s="31" t="s">
        <v>68</v>
      </c>
      <c r="P1" s="31" t="s">
        <v>69</v>
      </c>
      <c r="Q1" s="31" t="s">
        <v>70</v>
      </c>
      <c r="R1" s="31" t="s">
        <v>71</v>
      </c>
      <c r="S1" s="31" t="s">
        <v>72</v>
      </c>
      <c r="T1" s="31" t="s">
        <v>73</v>
      </c>
      <c r="U1" s="31" t="s">
        <v>74</v>
      </c>
      <c r="V1" s="31" t="s">
        <v>75</v>
      </c>
      <c r="W1" s="31" t="s">
        <v>76</v>
      </c>
      <c r="X1" s="31" t="s">
        <v>77</v>
      </c>
    </row>
    <row r="2" spans="1:24" x14ac:dyDescent="0.25">
      <c r="A2" s="32">
        <v>1</v>
      </c>
      <c r="B2" s="32" t="s">
        <v>78</v>
      </c>
      <c r="C2" s="32" t="s">
        <v>17</v>
      </c>
      <c r="D2" s="32" t="s">
        <v>79</v>
      </c>
      <c r="E2" s="32" t="s">
        <v>32</v>
      </c>
      <c r="F2" s="32">
        <v>0</v>
      </c>
      <c r="G2" s="33">
        <v>738</v>
      </c>
      <c r="H2" s="33">
        <v>13000</v>
      </c>
      <c r="I2" s="34">
        <v>5.7000000000000002E-2</v>
      </c>
      <c r="J2" s="35">
        <v>46265</v>
      </c>
      <c r="K2" s="36">
        <v>46235</v>
      </c>
      <c r="L2" s="32" t="s">
        <v>80</v>
      </c>
      <c r="M2" s="32" t="s">
        <v>81</v>
      </c>
      <c r="N2" s="32" t="s">
        <v>82</v>
      </c>
      <c r="O2" s="32" t="s">
        <v>83</v>
      </c>
      <c r="P2" s="32" t="s">
        <v>84</v>
      </c>
      <c r="Q2" s="32" t="s">
        <v>85</v>
      </c>
      <c r="R2" s="32">
        <v>0</v>
      </c>
      <c r="S2" s="32">
        <v>1</v>
      </c>
      <c r="T2" s="32">
        <v>1</v>
      </c>
      <c r="U2" s="32">
        <v>0</v>
      </c>
      <c r="V2" s="32" t="s">
        <v>86</v>
      </c>
      <c r="W2" s="32" t="s">
        <v>87</v>
      </c>
      <c r="X2" s="32" t="s">
        <v>88</v>
      </c>
    </row>
    <row r="3" spans="1:24" x14ac:dyDescent="0.25">
      <c r="A3" s="32">
        <v>2</v>
      </c>
      <c r="B3" s="32" t="s">
        <v>89</v>
      </c>
      <c r="C3" s="32" t="s">
        <v>33</v>
      </c>
      <c r="D3" s="32" t="s">
        <v>90</v>
      </c>
      <c r="E3" s="32" t="s">
        <v>30</v>
      </c>
      <c r="F3" s="32">
        <v>1</v>
      </c>
      <c r="G3" s="33">
        <v>110</v>
      </c>
      <c r="H3" s="33">
        <v>180</v>
      </c>
      <c r="I3" s="34">
        <v>0.61099999999999999</v>
      </c>
      <c r="J3" s="35">
        <v>46160</v>
      </c>
      <c r="K3" s="36">
        <v>46143</v>
      </c>
      <c r="L3" s="32" t="s">
        <v>80</v>
      </c>
      <c r="M3" s="32" t="s">
        <v>91</v>
      </c>
      <c r="N3" s="32" t="s">
        <v>92</v>
      </c>
      <c r="O3" s="32" t="s">
        <v>93</v>
      </c>
      <c r="P3" s="32" t="s">
        <v>94</v>
      </c>
      <c r="Q3" s="32" t="s">
        <v>95</v>
      </c>
      <c r="R3" s="32">
        <v>0</v>
      </c>
      <c r="S3" s="32">
        <v>1</v>
      </c>
      <c r="T3" s="32">
        <v>1</v>
      </c>
      <c r="U3" s="32">
        <v>0</v>
      </c>
      <c r="V3" s="32" t="s">
        <v>96</v>
      </c>
      <c r="W3" s="32" t="s">
        <v>97</v>
      </c>
      <c r="X3" s="32" t="s">
        <v>98</v>
      </c>
    </row>
    <row r="4" spans="1:24" x14ac:dyDescent="0.25">
      <c r="A4" s="32">
        <v>3</v>
      </c>
      <c r="B4" s="32" t="s">
        <v>99</v>
      </c>
      <c r="C4" s="32" t="s">
        <v>33</v>
      </c>
      <c r="D4" s="32" t="s">
        <v>90</v>
      </c>
      <c r="E4" s="32" t="s">
        <v>32</v>
      </c>
      <c r="F4" s="32">
        <v>0</v>
      </c>
      <c r="G4" s="33">
        <v>1700</v>
      </c>
      <c r="H4" s="33">
        <v>44000</v>
      </c>
      <c r="I4" s="34">
        <v>3.9E-2</v>
      </c>
      <c r="J4" s="35">
        <v>46023</v>
      </c>
      <c r="K4" s="36">
        <v>46023</v>
      </c>
      <c r="L4" s="32" t="s">
        <v>25</v>
      </c>
      <c r="M4" s="32" t="s">
        <v>100</v>
      </c>
      <c r="N4" s="32" t="s">
        <v>100</v>
      </c>
      <c r="O4" s="32" t="s">
        <v>83</v>
      </c>
      <c r="P4" s="32" t="s">
        <v>101</v>
      </c>
      <c r="Q4" s="32" t="s">
        <v>102</v>
      </c>
      <c r="R4" s="32">
        <v>0</v>
      </c>
      <c r="S4" s="32">
        <v>1</v>
      </c>
      <c r="T4" s="32">
        <v>1</v>
      </c>
      <c r="U4" s="32">
        <v>0</v>
      </c>
      <c r="V4" s="32" t="s">
        <v>96</v>
      </c>
      <c r="W4" s="32" t="s">
        <v>103</v>
      </c>
      <c r="X4" s="32" t="s">
        <v>104</v>
      </c>
    </row>
    <row r="5" spans="1:24" x14ac:dyDescent="0.25">
      <c r="A5" s="32">
        <v>4</v>
      </c>
      <c r="B5" s="32" t="s">
        <v>105</v>
      </c>
      <c r="C5" s="32" t="s">
        <v>16</v>
      </c>
      <c r="D5" s="32" t="s">
        <v>79</v>
      </c>
      <c r="E5" s="32" t="s">
        <v>32</v>
      </c>
      <c r="F5" s="32">
        <v>0</v>
      </c>
      <c r="G5" s="33">
        <v>162</v>
      </c>
      <c r="H5" s="33">
        <v>500</v>
      </c>
      <c r="I5" s="34">
        <v>0.32400000000000001</v>
      </c>
      <c r="J5" s="35">
        <v>46082</v>
      </c>
      <c r="K5" s="36">
        <v>46082</v>
      </c>
      <c r="L5" s="32" t="s">
        <v>25</v>
      </c>
      <c r="M5" s="32" t="s">
        <v>106</v>
      </c>
      <c r="N5" s="32" t="s">
        <v>106</v>
      </c>
      <c r="O5" s="32" t="s">
        <v>93</v>
      </c>
      <c r="P5" s="32" t="s">
        <v>94</v>
      </c>
      <c r="Q5" s="32" t="s">
        <v>95</v>
      </c>
      <c r="R5" s="32">
        <v>0</v>
      </c>
      <c r="S5" s="32">
        <v>1</v>
      </c>
      <c r="T5" s="32">
        <v>1</v>
      </c>
      <c r="U5" s="32">
        <v>0</v>
      </c>
      <c r="V5" s="32" t="s">
        <v>96</v>
      </c>
      <c r="W5" s="32" t="s">
        <v>107</v>
      </c>
      <c r="X5" s="32" t="s">
        <v>108</v>
      </c>
    </row>
    <row r="6" spans="1:24" x14ac:dyDescent="0.25">
      <c r="A6" s="32">
        <v>5</v>
      </c>
      <c r="B6" s="32" t="s">
        <v>109</v>
      </c>
      <c r="C6" s="32" t="s">
        <v>33</v>
      </c>
      <c r="D6" s="32" t="s">
        <v>90</v>
      </c>
      <c r="E6" s="32" t="s">
        <v>30</v>
      </c>
      <c r="F6" s="32">
        <v>1</v>
      </c>
      <c r="G6" s="33">
        <v>11000</v>
      </c>
      <c r="H6" s="33">
        <v>750000</v>
      </c>
      <c r="I6" s="34">
        <v>1.4999999999999999E-2</v>
      </c>
      <c r="J6" s="35"/>
      <c r="K6" s="36"/>
      <c r="L6" s="32" t="s">
        <v>110</v>
      </c>
      <c r="M6" s="32" t="s">
        <v>111</v>
      </c>
      <c r="N6" s="32" t="s">
        <v>112</v>
      </c>
      <c r="O6" s="32" t="s">
        <v>113</v>
      </c>
      <c r="P6" s="32" t="s">
        <v>101</v>
      </c>
      <c r="Q6" s="32" t="s">
        <v>114</v>
      </c>
      <c r="R6" s="32">
        <v>0</v>
      </c>
      <c r="S6" s="32">
        <v>1</v>
      </c>
      <c r="T6" s="32">
        <v>1</v>
      </c>
      <c r="U6" s="32">
        <v>0</v>
      </c>
      <c r="V6" s="32" t="s">
        <v>96</v>
      </c>
      <c r="W6" s="32" t="s">
        <v>115</v>
      </c>
      <c r="X6" s="32" t="s">
        <v>116</v>
      </c>
    </row>
    <row r="7" spans="1:24" x14ac:dyDescent="0.25">
      <c r="A7" s="32">
        <v>6</v>
      </c>
      <c r="B7" s="32" t="s">
        <v>117</v>
      </c>
      <c r="C7" s="32" t="s">
        <v>15</v>
      </c>
      <c r="D7" s="32" t="s">
        <v>79</v>
      </c>
      <c r="E7" s="32" t="s">
        <v>30</v>
      </c>
      <c r="F7" s="32">
        <v>1</v>
      </c>
      <c r="G7" s="33">
        <v>2250</v>
      </c>
      <c r="H7" s="33">
        <v>20450</v>
      </c>
      <c r="I7" s="34">
        <v>0.11</v>
      </c>
      <c r="J7" s="35">
        <v>46162</v>
      </c>
      <c r="K7" s="36">
        <v>46143</v>
      </c>
      <c r="L7" s="32" t="s">
        <v>80</v>
      </c>
      <c r="M7" s="32" t="s">
        <v>91</v>
      </c>
      <c r="N7" s="32" t="s">
        <v>118</v>
      </c>
      <c r="O7" s="32" t="s">
        <v>83</v>
      </c>
      <c r="P7" s="32" t="s">
        <v>119</v>
      </c>
      <c r="Q7" s="32" t="s">
        <v>102</v>
      </c>
      <c r="R7" s="32">
        <v>0</v>
      </c>
      <c r="S7" s="32">
        <v>1</v>
      </c>
      <c r="T7" s="32">
        <v>1</v>
      </c>
      <c r="U7" s="32">
        <v>0</v>
      </c>
      <c r="V7" s="32" t="s">
        <v>96</v>
      </c>
      <c r="W7" s="32" t="s">
        <v>120</v>
      </c>
      <c r="X7" s="32" t="s">
        <v>121</v>
      </c>
    </row>
    <row r="8" spans="1:24" x14ac:dyDescent="0.25">
      <c r="A8" s="32">
        <v>7</v>
      </c>
      <c r="B8" s="32" t="s">
        <v>122</v>
      </c>
      <c r="C8" s="32" t="s">
        <v>2</v>
      </c>
      <c r="D8" s="32" t="s">
        <v>79</v>
      </c>
      <c r="E8" s="32" t="s">
        <v>36</v>
      </c>
      <c r="F8" s="32">
        <v>0</v>
      </c>
      <c r="G8" s="33">
        <v>500</v>
      </c>
      <c r="H8" s="33">
        <v>6000</v>
      </c>
      <c r="I8" s="34">
        <v>8.3000000000000004E-2</v>
      </c>
      <c r="J8" s="35">
        <v>46219</v>
      </c>
      <c r="K8" s="36">
        <v>46204</v>
      </c>
      <c r="L8" s="32" t="s">
        <v>80</v>
      </c>
      <c r="M8" s="32" t="s">
        <v>123</v>
      </c>
      <c r="N8" s="32" t="s">
        <v>124</v>
      </c>
      <c r="O8" s="32" t="s">
        <v>125</v>
      </c>
      <c r="P8" s="32" t="s">
        <v>84</v>
      </c>
      <c r="Q8" s="32" t="s">
        <v>85</v>
      </c>
      <c r="R8" s="32">
        <v>0</v>
      </c>
      <c r="S8" s="32">
        <v>1</v>
      </c>
      <c r="T8" s="32">
        <v>1</v>
      </c>
      <c r="U8" s="32">
        <v>0</v>
      </c>
      <c r="V8" s="32" t="s">
        <v>96</v>
      </c>
      <c r="W8" s="32" t="s">
        <v>126</v>
      </c>
      <c r="X8" s="32" t="s">
        <v>127</v>
      </c>
    </row>
    <row r="9" spans="1:24" x14ac:dyDescent="0.25">
      <c r="A9" s="32">
        <v>8</v>
      </c>
      <c r="B9" s="32" t="s">
        <v>128</v>
      </c>
      <c r="C9" s="32" t="s">
        <v>17</v>
      </c>
      <c r="D9" s="32" t="s">
        <v>79</v>
      </c>
      <c r="E9" s="32" t="s">
        <v>36</v>
      </c>
      <c r="F9" s="32">
        <v>0</v>
      </c>
      <c r="G9" s="33">
        <v>240</v>
      </c>
      <c r="H9" s="33">
        <v>6000</v>
      </c>
      <c r="I9" s="34">
        <v>0.04</v>
      </c>
      <c r="J9" s="35">
        <v>46090</v>
      </c>
      <c r="K9" s="36">
        <v>46082</v>
      </c>
      <c r="L9" s="32" t="s">
        <v>80</v>
      </c>
      <c r="M9" s="32" t="s">
        <v>106</v>
      </c>
      <c r="N9" s="32" t="s">
        <v>129</v>
      </c>
      <c r="O9" s="32" t="s">
        <v>125</v>
      </c>
      <c r="P9" s="32" t="s">
        <v>101</v>
      </c>
      <c r="Q9" s="32" t="s">
        <v>95</v>
      </c>
      <c r="R9" s="32">
        <v>0</v>
      </c>
      <c r="S9" s="32">
        <v>1</v>
      </c>
      <c r="T9" s="32">
        <v>1</v>
      </c>
      <c r="U9" s="32">
        <v>0</v>
      </c>
      <c r="V9" s="32" t="s">
        <v>96</v>
      </c>
      <c r="W9" s="32" t="s">
        <v>107</v>
      </c>
      <c r="X9" s="32" t="s">
        <v>108</v>
      </c>
    </row>
    <row r="10" spans="1:24" x14ac:dyDescent="0.25">
      <c r="A10" s="32">
        <v>9</v>
      </c>
      <c r="B10" s="32" t="s">
        <v>130</v>
      </c>
      <c r="C10" s="32" t="s">
        <v>2</v>
      </c>
      <c r="D10" s="32" t="s">
        <v>79</v>
      </c>
      <c r="E10" s="32" t="s">
        <v>36</v>
      </c>
      <c r="F10" s="32">
        <v>0</v>
      </c>
      <c r="G10" s="33">
        <v>729</v>
      </c>
      <c r="H10" s="33">
        <v>3000</v>
      </c>
      <c r="I10" s="34">
        <v>0.24299999999999999</v>
      </c>
      <c r="J10" s="35">
        <v>46028</v>
      </c>
      <c r="K10" s="36">
        <v>46023</v>
      </c>
      <c r="L10" s="32" t="s">
        <v>80</v>
      </c>
      <c r="M10" s="32" t="s">
        <v>100</v>
      </c>
      <c r="N10" s="32" t="s">
        <v>131</v>
      </c>
      <c r="O10" s="32" t="s">
        <v>125</v>
      </c>
      <c r="P10" s="32" t="s">
        <v>119</v>
      </c>
      <c r="Q10" s="32" t="s">
        <v>85</v>
      </c>
      <c r="R10" s="32">
        <v>0</v>
      </c>
      <c r="S10" s="32">
        <v>1</v>
      </c>
      <c r="T10" s="32">
        <v>1</v>
      </c>
      <c r="U10" s="32">
        <v>0</v>
      </c>
      <c r="V10" s="32" t="s">
        <v>96</v>
      </c>
      <c r="W10" s="32" t="s">
        <v>132</v>
      </c>
      <c r="X10" s="32" t="s">
        <v>133</v>
      </c>
    </row>
    <row r="11" spans="1:24" x14ac:dyDescent="0.25">
      <c r="A11" s="32">
        <v>10</v>
      </c>
      <c r="B11" s="32" t="s">
        <v>134</v>
      </c>
      <c r="C11" s="32" t="s">
        <v>20</v>
      </c>
      <c r="D11" s="32" t="s">
        <v>79</v>
      </c>
      <c r="E11" s="32" t="s">
        <v>32</v>
      </c>
      <c r="F11" s="32">
        <v>0</v>
      </c>
      <c r="G11" s="33">
        <v>1000</v>
      </c>
      <c r="H11" s="33">
        <v>3500</v>
      </c>
      <c r="I11" s="34">
        <v>0.28599999999999998</v>
      </c>
      <c r="J11" s="35">
        <v>46082</v>
      </c>
      <c r="K11" s="36">
        <v>46082</v>
      </c>
      <c r="L11" s="32" t="s">
        <v>25</v>
      </c>
      <c r="M11" s="32" t="s">
        <v>106</v>
      </c>
      <c r="N11" s="32" t="s">
        <v>106</v>
      </c>
      <c r="O11" s="32" t="s">
        <v>125</v>
      </c>
      <c r="P11" s="32" t="s">
        <v>94</v>
      </c>
      <c r="Q11" s="32" t="s">
        <v>102</v>
      </c>
      <c r="R11" s="32">
        <v>0</v>
      </c>
      <c r="S11" s="32">
        <v>1</v>
      </c>
      <c r="T11" s="32">
        <v>1</v>
      </c>
      <c r="U11" s="32">
        <v>0</v>
      </c>
      <c r="V11" s="32" t="s">
        <v>96</v>
      </c>
      <c r="W11" s="32" t="s">
        <v>115</v>
      </c>
      <c r="X11" s="32" t="s">
        <v>116</v>
      </c>
    </row>
    <row r="12" spans="1:24" x14ac:dyDescent="0.25">
      <c r="A12" s="32">
        <v>11</v>
      </c>
      <c r="B12" s="32" t="s">
        <v>135</v>
      </c>
      <c r="C12" s="32" t="s">
        <v>17</v>
      </c>
      <c r="D12" s="32" t="s">
        <v>79</v>
      </c>
      <c r="E12" s="32" t="s">
        <v>32</v>
      </c>
      <c r="F12" s="32">
        <v>0</v>
      </c>
      <c r="G12" s="33">
        <v>19</v>
      </c>
      <c r="H12" s="33">
        <v>55</v>
      </c>
      <c r="I12" s="34">
        <v>0.34499999999999997</v>
      </c>
      <c r="J12" s="35">
        <v>46086</v>
      </c>
      <c r="K12" s="36">
        <v>46082</v>
      </c>
      <c r="L12" s="32" t="s">
        <v>80</v>
      </c>
      <c r="M12" s="32" t="s">
        <v>106</v>
      </c>
      <c r="N12" s="32" t="s">
        <v>136</v>
      </c>
      <c r="O12" s="32" t="s">
        <v>93</v>
      </c>
      <c r="P12" s="32" t="s">
        <v>94</v>
      </c>
      <c r="Q12" s="32" t="s">
        <v>137</v>
      </c>
      <c r="R12" s="32">
        <v>0</v>
      </c>
      <c r="S12" s="32">
        <v>1</v>
      </c>
      <c r="T12" s="32">
        <v>1</v>
      </c>
      <c r="U12" s="32">
        <v>0</v>
      </c>
      <c r="V12" s="32" t="s">
        <v>96</v>
      </c>
      <c r="W12" s="32" t="s">
        <v>138</v>
      </c>
      <c r="X12" s="32" t="s">
        <v>139</v>
      </c>
    </row>
    <row r="13" spans="1:24" x14ac:dyDescent="0.25">
      <c r="A13" s="32">
        <v>12</v>
      </c>
      <c r="B13" s="32" t="s">
        <v>140</v>
      </c>
      <c r="C13" s="32" t="s">
        <v>33</v>
      </c>
      <c r="D13" s="32" t="s">
        <v>90</v>
      </c>
      <c r="E13" s="32" t="s">
        <v>30</v>
      </c>
      <c r="F13" s="32">
        <v>1</v>
      </c>
      <c r="G13" s="33">
        <v>16000</v>
      </c>
      <c r="H13" s="33">
        <v>350000</v>
      </c>
      <c r="I13" s="34">
        <v>4.5999999999999999E-2</v>
      </c>
      <c r="J13" s="35">
        <v>46050</v>
      </c>
      <c r="K13" s="36">
        <v>46023</v>
      </c>
      <c r="L13" s="32" t="s">
        <v>80</v>
      </c>
      <c r="M13" s="32" t="s">
        <v>100</v>
      </c>
      <c r="N13" s="32" t="s">
        <v>141</v>
      </c>
      <c r="O13" s="32" t="s">
        <v>113</v>
      </c>
      <c r="P13" s="32" t="s">
        <v>101</v>
      </c>
      <c r="Q13" s="32" t="s">
        <v>114</v>
      </c>
      <c r="R13" s="32">
        <v>0</v>
      </c>
      <c r="S13" s="32">
        <v>1</v>
      </c>
      <c r="T13" s="32">
        <v>5</v>
      </c>
      <c r="U13" s="32">
        <v>1</v>
      </c>
      <c r="V13" s="32" t="s">
        <v>96</v>
      </c>
      <c r="W13" s="32" t="s">
        <v>142</v>
      </c>
      <c r="X13" s="32" t="s">
        <v>143</v>
      </c>
    </row>
    <row r="14" spans="1:24" x14ac:dyDescent="0.25">
      <c r="A14" s="32">
        <v>13</v>
      </c>
      <c r="B14" s="32" t="s">
        <v>140</v>
      </c>
      <c r="C14" s="32" t="s">
        <v>33</v>
      </c>
      <c r="D14" s="32" t="s">
        <v>90</v>
      </c>
      <c r="E14" s="32" t="s">
        <v>32</v>
      </c>
      <c r="F14" s="32">
        <v>0</v>
      </c>
      <c r="G14" s="33">
        <v>616</v>
      </c>
      <c r="H14" s="33">
        <v>1550000</v>
      </c>
      <c r="I14" s="34">
        <v>0</v>
      </c>
      <c r="J14" s="35">
        <v>46133</v>
      </c>
      <c r="K14" s="36">
        <v>46113</v>
      </c>
      <c r="L14" s="32" t="s">
        <v>80</v>
      </c>
      <c r="M14" s="32" t="s">
        <v>144</v>
      </c>
      <c r="N14" s="32" t="s">
        <v>145</v>
      </c>
      <c r="O14" s="32" t="s">
        <v>113</v>
      </c>
      <c r="P14" s="32" t="s">
        <v>101</v>
      </c>
      <c r="Q14" s="32" t="s">
        <v>85</v>
      </c>
      <c r="R14" s="32">
        <v>0</v>
      </c>
      <c r="S14" s="32">
        <v>2</v>
      </c>
      <c r="T14" s="32">
        <v>5</v>
      </c>
      <c r="U14" s="32">
        <v>1</v>
      </c>
      <c r="V14" s="32" t="s">
        <v>96</v>
      </c>
      <c r="W14" s="32" t="s">
        <v>146</v>
      </c>
      <c r="X14" s="32" t="s">
        <v>147</v>
      </c>
    </row>
    <row r="15" spans="1:24" x14ac:dyDescent="0.25">
      <c r="A15" s="32">
        <v>14</v>
      </c>
      <c r="B15" s="32" t="s">
        <v>140</v>
      </c>
      <c r="C15" s="32" t="s">
        <v>33</v>
      </c>
      <c r="D15" s="32" t="s">
        <v>90</v>
      </c>
      <c r="E15" s="32" t="s">
        <v>32</v>
      </c>
      <c r="F15" s="32">
        <v>0</v>
      </c>
      <c r="G15" s="33">
        <v>148</v>
      </c>
      <c r="H15" s="33">
        <v>1550000</v>
      </c>
      <c r="I15" s="34">
        <v>0</v>
      </c>
      <c r="J15" s="35">
        <v>46262</v>
      </c>
      <c r="K15" s="36">
        <v>46235</v>
      </c>
      <c r="L15" s="32" t="s">
        <v>80</v>
      </c>
      <c r="M15" s="32" t="s">
        <v>81</v>
      </c>
      <c r="N15" s="32" t="s">
        <v>148</v>
      </c>
      <c r="O15" s="32" t="s">
        <v>113</v>
      </c>
      <c r="P15" s="32" t="s">
        <v>101</v>
      </c>
      <c r="Q15" s="32" t="s">
        <v>95</v>
      </c>
      <c r="R15" s="32">
        <v>0</v>
      </c>
      <c r="S15" s="32">
        <v>3</v>
      </c>
      <c r="T15" s="32">
        <v>5</v>
      </c>
      <c r="U15" s="32">
        <v>1</v>
      </c>
      <c r="V15" s="32" t="s">
        <v>86</v>
      </c>
      <c r="W15" s="32" t="s">
        <v>87</v>
      </c>
      <c r="X15" s="32" t="s">
        <v>88</v>
      </c>
    </row>
    <row r="16" spans="1:24" x14ac:dyDescent="0.25">
      <c r="A16" s="32">
        <v>15</v>
      </c>
      <c r="B16" s="32" t="s">
        <v>140</v>
      </c>
      <c r="C16" s="32" t="s">
        <v>33</v>
      </c>
      <c r="D16" s="32" t="s">
        <v>90</v>
      </c>
      <c r="E16" s="32" t="s">
        <v>32</v>
      </c>
      <c r="F16" s="32">
        <v>0</v>
      </c>
      <c r="G16" s="33">
        <v>121</v>
      </c>
      <c r="H16" s="33">
        <v>1550000</v>
      </c>
      <c r="I16" s="34">
        <v>0</v>
      </c>
      <c r="J16" s="35">
        <v>46265</v>
      </c>
      <c r="K16" s="36">
        <v>46235</v>
      </c>
      <c r="L16" s="32" t="s">
        <v>80</v>
      </c>
      <c r="M16" s="32" t="s">
        <v>81</v>
      </c>
      <c r="N16" s="32" t="s">
        <v>82</v>
      </c>
      <c r="O16" s="32" t="s">
        <v>113</v>
      </c>
      <c r="P16" s="32" t="s">
        <v>101</v>
      </c>
      <c r="Q16" s="32" t="s">
        <v>95</v>
      </c>
      <c r="R16" s="32">
        <v>0</v>
      </c>
      <c r="S16" s="32">
        <v>4</v>
      </c>
      <c r="T16" s="32">
        <v>5</v>
      </c>
      <c r="U16" s="32">
        <v>1</v>
      </c>
      <c r="V16" s="32" t="s">
        <v>96</v>
      </c>
      <c r="W16" s="32" t="s">
        <v>149</v>
      </c>
      <c r="X16" s="32" t="s">
        <v>150</v>
      </c>
    </row>
    <row r="17" spans="1:24" x14ac:dyDescent="0.25">
      <c r="A17" s="32">
        <v>16</v>
      </c>
      <c r="B17" s="32" t="s">
        <v>140</v>
      </c>
      <c r="C17" s="32" t="s">
        <v>33</v>
      </c>
      <c r="D17" s="32" t="s">
        <v>90</v>
      </c>
      <c r="E17" s="32" t="s">
        <v>32</v>
      </c>
      <c r="F17" s="32">
        <v>0</v>
      </c>
      <c r="G17" s="33">
        <v>494</v>
      </c>
      <c r="H17" s="33">
        <v>1550000</v>
      </c>
      <c r="I17" s="34">
        <v>0</v>
      </c>
      <c r="J17" s="35">
        <v>46282</v>
      </c>
      <c r="K17" s="36">
        <v>46266</v>
      </c>
      <c r="L17" s="32" t="s">
        <v>80</v>
      </c>
      <c r="M17" s="32" t="s">
        <v>151</v>
      </c>
      <c r="N17" s="32" t="s">
        <v>152</v>
      </c>
      <c r="O17" s="32" t="s">
        <v>113</v>
      </c>
      <c r="P17" s="32" t="s">
        <v>101</v>
      </c>
      <c r="Q17" s="32" t="s">
        <v>95</v>
      </c>
      <c r="R17" s="32">
        <v>0</v>
      </c>
      <c r="S17" s="32">
        <v>5</v>
      </c>
      <c r="T17" s="32">
        <v>5</v>
      </c>
      <c r="U17" s="32">
        <v>1</v>
      </c>
      <c r="V17" s="32" t="s">
        <v>96</v>
      </c>
      <c r="W17" s="32" t="s">
        <v>153</v>
      </c>
      <c r="X17" s="32" t="s">
        <v>154</v>
      </c>
    </row>
    <row r="18" spans="1:24" x14ac:dyDescent="0.25">
      <c r="A18" s="32">
        <v>17</v>
      </c>
      <c r="B18" s="32" t="s">
        <v>155</v>
      </c>
      <c r="C18" s="32" t="s">
        <v>33</v>
      </c>
      <c r="D18" s="32" t="s">
        <v>90</v>
      </c>
      <c r="E18" s="32" t="s">
        <v>30</v>
      </c>
      <c r="F18" s="32">
        <v>1</v>
      </c>
      <c r="G18" s="33">
        <v>2500</v>
      </c>
      <c r="H18" s="33">
        <v>29000</v>
      </c>
      <c r="I18" s="34">
        <v>8.5999999999999993E-2</v>
      </c>
      <c r="J18" s="35">
        <v>46170</v>
      </c>
      <c r="K18" s="36">
        <v>46143</v>
      </c>
      <c r="L18" s="32" t="s">
        <v>80</v>
      </c>
      <c r="M18" s="32" t="s">
        <v>91</v>
      </c>
      <c r="N18" s="32" t="s">
        <v>156</v>
      </c>
      <c r="O18" s="32" t="s">
        <v>83</v>
      </c>
      <c r="P18" s="32" t="s">
        <v>84</v>
      </c>
      <c r="Q18" s="32" t="s">
        <v>102</v>
      </c>
      <c r="R18" s="32">
        <v>0</v>
      </c>
      <c r="S18" s="32">
        <v>1</v>
      </c>
      <c r="T18" s="32">
        <v>1</v>
      </c>
      <c r="U18" s="32">
        <v>0</v>
      </c>
      <c r="V18" s="32" t="s">
        <v>96</v>
      </c>
      <c r="W18" s="32" t="s">
        <v>97</v>
      </c>
      <c r="X18" s="32" t="s">
        <v>157</v>
      </c>
    </row>
    <row r="19" spans="1:24" x14ac:dyDescent="0.25">
      <c r="A19" s="32">
        <v>18</v>
      </c>
      <c r="B19" s="32" t="s">
        <v>158</v>
      </c>
      <c r="C19" s="32" t="s">
        <v>33</v>
      </c>
      <c r="D19" s="32" t="s">
        <v>90</v>
      </c>
      <c r="E19" s="32" t="s">
        <v>34</v>
      </c>
      <c r="F19" s="32">
        <v>0</v>
      </c>
      <c r="G19" s="33">
        <v>70</v>
      </c>
      <c r="H19" s="33">
        <v>50000</v>
      </c>
      <c r="I19" s="34">
        <v>1E-3</v>
      </c>
      <c r="J19" s="35">
        <v>46290</v>
      </c>
      <c r="K19" s="36">
        <v>46266</v>
      </c>
      <c r="L19" s="32" t="s">
        <v>80</v>
      </c>
      <c r="M19" s="32" t="s">
        <v>151</v>
      </c>
      <c r="N19" s="32" t="s">
        <v>159</v>
      </c>
      <c r="O19" s="32" t="s">
        <v>160</v>
      </c>
      <c r="P19" s="32" t="s">
        <v>101</v>
      </c>
      <c r="Q19" s="32" t="s">
        <v>137</v>
      </c>
      <c r="R19" s="32">
        <v>0</v>
      </c>
      <c r="S19" s="32">
        <v>1</v>
      </c>
      <c r="T19" s="32">
        <v>1</v>
      </c>
      <c r="U19" s="32">
        <v>0</v>
      </c>
      <c r="V19" s="32" t="s">
        <v>96</v>
      </c>
      <c r="W19" s="32" t="s">
        <v>161</v>
      </c>
      <c r="X19" s="32" t="s">
        <v>162</v>
      </c>
    </row>
    <row r="20" spans="1:24" x14ac:dyDescent="0.25">
      <c r="A20" s="32">
        <v>19</v>
      </c>
      <c r="B20" s="32" t="s">
        <v>163</v>
      </c>
      <c r="C20" s="32" t="s">
        <v>4</v>
      </c>
      <c r="D20" s="32" t="s">
        <v>79</v>
      </c>
      <c r="E20" s="32" t="s">
        <v>32</v>
      </c>
      <c r="F20" s="32">
        <v>0</v>
      </c>
      <c r="G20" s="33">
        <v>260</v>
      </c>
      <c r="H20" s="33">
        <v>2800</v>
      </c>
      <c r="I20" s="34">
        <v>9.2999999999999999E-2</v>
      </c>
      <c r="J20" s="35">
        <v>46282</v>
      </c>
      <c r="K20" s="36">
        <v>46266</v>
      </c>
      <c r="L20" s="32" t="s">
        <v>80</v>
      </c>
      <c r="M20" s="32" t="s">
        <v>151</v>
      </c>
      <c r="N20" s="32" t="s">
        <v>152</v>
      </c>
      <c r="O20" s="32" t="s">
        <v>125</v>
      </c>
      <c r="P20" s="32" t="s">
        <v>84</v>
      </c>
      <c r="Q20" s="32" t="s">
        <v>95</v>
      </c>
      <c r="R20" s="32">
        <v>0</v>
      </c>
      <c r="S20" s="32">
        <v>1</v>
      </c>
      <c r="T20" s="32">
        <v>1</v>
      </c>
      <c r="U20" s="32">
        <v>0</v>
      </c>
      <c r="V20" s="32" t="s">
        <v>96</v>
      </c>
      <c r="W20" s="32" t="s">
        <v>164</v>
      </c>
      <c r="X20" s="32" t="s">
        <v>165</v>
      </c>
    </row>
    <row r="21" spans="1:24" x14ac:dyDescent="0.25">
      <c r="A21" s="32">
        <v>20</v>
      </c>
      <c r="B21" s="32" t="s">
        <v>166</v>
      </c>
      <c r="C21" s="32" t="s">
        <v>20</v>
      </c>
      <c r="D21" s="32" t="s">
        <v>79</v>
      </c>
      <c r="E21" s="32" t="s">
        <v>34</v>
      </c>
      <c r="F21" s="32">
        <v>0</v>
      </c>
      <c r="G21" s="33">
        <v>168</v>
      </c>
      <c r="H21" s="33">
        <v>1400</v>
      </c>
      <c r="I21" s="34">
        <v>0.12</v>
      </c>
      <c r="J21" s="35">
        <v>46252</v>
      </c>
      <c r="K21" s="36">
        <v>46235</v>
      </c>
      <c r="L21" s="32" t="s">
        <v>80</v>
      </c>
      <c r="M21" s="32" t="s">
        <v>81</v>
      </c>
      <c r="N21" s="32" t="s">
        <v>167</v>
      </c>
      <c r="O21" s="32" t="s">
        <v>125</v>
      </c>
      <c r="P21" s="32" t="s">
        <v>119</v>
      </c>
      <c r="Q21" s="32" t="s">
        <v>95</v>
      </c>
      <c r="R21" s="32">
        <v>0</v>
      </c>
      <c r="S21" s="32">
        <v>1</v>
      </c>
      <c r="T21" s="32">
        <v>1</v>
      </c>
      <c r="U21" s="32">
        <v>0</v>
      </c>
      <c r="V21" s="32" t="s">
        <v>96</v>
      </c>
      <c r="W21" s="32" t="s">
        <v>168</v>
      </c>
      <c r="X21" s="32" t="s">
        <v>169</v>
      </c>
    </row>
    <row r="22" spans="1:24" x14ac:dyDescent="0.25">
      <c r="A22" s="32">
        <v>21</v>
      </c>
      <c r="B22" s="32" t="s">
        <v>170</v>
      </c>
      <c r="C22" s="32" t="s">
        <v>33</v>
      </c>
      <c r="D22" s="32" t="s">
        <v>90</v>
      </c>
      <c r="E22" s="32" t="s">
        <v>30</v>
      </c>
      <c r="F22" s="32">
        <v>1</v>
      </c>
      <c r="G22" s="33">
        <v>350</v>
      </c>
      <c r="H22" s="33">
        <v>5000</v>
      </c>
      <c r="I22" s="34">
        <v>7.0000000000000007E-2</v>
      </c>
      <c r="J22" s="35">
        <v>46023</v>
      </c>
      <c r="K22" s="36">
        <v>46023</v>
      </c>
      <c r="L22" s="32" t="s">
        <v>25</v>
      </c>
      <c r="M22" s="32" t="s">
        <v>100</v>
      </c>
      <c r="N22" s="32" t="s">
        <v>100</v>
      </c>
      <c r="O22" s="32" t="s">
        <v>125</v>
      </c>
      <c r="P22" s="32" t="s">
        <v>84</v>
      </c>
      <c r="Q22" s="32" t="s">
        <v>95</v>
      </c>
      <c r="R22" s="32">
        <v>0</v>
      </c>
      <c r="S22" s="32">
        <v>1</v>
      </c>
      <c r="T22" s="32">
        <v>1</v>
      </c>
      <c r="U22" s="32">
        <v>0</v>
      </c>
      <c r="V22" s="32" t="s">
        <v>96</v>
      </c>
      <c r="W22" s="32" t="s">
        <v>171</v>
      </c>
      <c r="X22" s="32" t="s">
        <v>172</v>
      </c>
    </row>
    <row r="23" spans="1:24" x14ac:dyDescent="0.25">
      <c r="A23" s="32">
        <v>22</v>
      </c>
      <c r="B23" s="32" t="s">
        <v>173</v>
      </c>
      <c r="C23" s="32" t="s">
        <v>33</v>
      </c>
      <c r="D23" s="32" t="s">
        <v>90</v>
      </c>
      <c r="E23" s="32" t="s">
        <v>30</v>
      </c>
      <c r="F23" s="32">
        <v>1</v>
      </c>
      <c r="G23" s="33">
        <v>200</v>
      </c>
      <c r="H23" s="33">
        <v>166000</v>
      </c>
      <c r="I23" s="34">
        <v>1E-3</v>
      </c>
      <c r="J23" s="35">
        <v>46255</v>
      </c>
      <c r="K23" s="36">
        <v>46235</v>
      </c>
      <c r="L23" s="32" t="s">
        <v>80</v>
      </c>
      <c r="M23" s="32" t="s">
        <v>81</v>
      </c>
      <c r="N23" s="32" t="s">
        <v>174</v>
      </c>
      <c r="O23" s="32" t="s">
        <v>113</v>
      </c>
      <c r="P23" s="32" t="s">
        <v>101</v>
      </c>
      <c r="Q23" s="32" t="s">
        <v>95</v>
      </c>
      <c r="R23" s="32">
        <v>0</v>
      </c>
      <c r="S23" s="32">
        <v>1</v>
      </c>
      <c r="T23" s="32">
        <v>1</v>
      </c>
      <c r="U23" s="32">
        <v>0</v>
      </c>
      <c r="V23" s="32" t="s">
        <v>96</v>
      </c>
      <c r="W23" s="32" t="s">
        <v>175</v>
      </c>
      <c r="X23" s="32" t="s">
        <v>176</v>
      </c>
    </row>
    <row r="24" spans="1:24" x14ac:dyDescent="0.25">
      <c r="A24" s="32">
        <v>23</v>
      </c>
      <c r="B24" s="32" t="s">
        <v>177</v>
      </c>
      <c r="C24" s="32" t="s">
        <v>31</v>
      </c>
      <c r="D24" s="32" t="s">
        <v>79</v>
      </c>
      <c r="E24" s="32" t="s">
        <v>32</v>
      </c>
      <c r="F24" s="32">
        <v>0</v>
      </c>
      <c r="G24" s="33">
        <v>174</v>
      </c>
      <c r="H24" s="33">
        <v>278390</v>
      </c>
      <c r="I24" s="34">
        <v>1E-3</v>
      </c>
      <c r="J24" s="35">
        <v>46296</v>
      </c>
      <c r="K24" s="36">
        <v>46296</v>
      </c>
      <c r="L24" s="32" t="s">
        <v>80</v>
      </c>
      <c r="M24" s="32" t="s">
        <v>178</v>
      </c>
      <c r="N24" s="32" t="s">
        <v>179</v>
      </c>
      <c r="O24" s="32" t="s">
        <v>113</v>
      </c>
      <c r="P24" s="32" t="s">
        <v>101</v>
      </c>
      <c r="Q24" s="32" t="s">
        <v>95</v>
      </c>
      <c r="R24" s="32">
        <v>0</v>
      </c>
      <c r="S24" s="32">
        <v>1</v>
      </c>
      <c r="T24" s="32">
        <v>1</v>
      </c>
      <c r="U24" s="32">
        <v>0</v>
      </c>
      <c r="V24" s="32" t="s">
        <v>96</v>
      </c>
      <c r="W24" s="32" t="s">
        <v>180</v>
      </c>
      <c r="X24" s="32" t="s">
        <v>181</v>
      </c>
    </row>
    <row r="25" spans="1:24" x14ac:dyDescent="0.25">
      <c r="A25" s="32">
        <v>24</v>
      </c>
      <c r="B25" s="32" t="s">
        <v>182</v>
      </c>
      <c r="C25" s="32" t="s">
        <v>33</v>
      </c>
      <c r="D25" s="32" t="s">
        <v>90</v>
      </c>
      <c r="E25" s="32" t="s">
        <v>30</v>
      </c>
      <c r="F25" s="32">
        <v>1</v>
      </c>
      <c r="G25" s="33">
        <v>250</v>
      </c>
      <c r="H25" s="33">
        <v>3000</v>
      </c>
      <c r="I25" s="34">
        <v>8.3000000000000004E-2</v>
      </c>
      <c r="J25" s="35">
        <v>46148</v>
      </c>
      <c r="K25" s="36">
        <v>46143</v>
      </c>
      <c r="L25" s="32" t="s">
        <v>80</v>
      </c>
      <c r="M25" s="32" t="s">
        <v>91</v>
      </c>
      <c r="N25" s="32" t="s">
        <v>183</v>
      </c>
      <c r="O25" s="32" t="s">
        <v>125</v>
      </c>
      <c r="P25" s="32" t="s">
        <v>84</v>
      </c>
      <c r="Q25" s="32" t="s">
        <v>95</v>
      </c>
      <c r="R25" s="32">
        <v>0</v>
      </c>
      <c r="S25" s="32">
        <v>1</v>
      </c>
      <c r="T25" s="32">
        <v>1</v>
      </c>
      <c r="U25" s="32">
        <v>0</v>
      </c>
      <c r="V25" s="32" t="s">
        <v>96</v>
      </c>
      <c r="W25" s="32" t="s">
        <v>184</v>
      </c>
      <c r="X25" s="32" t="s">
        <v>185</v>
      </c>
    </row>
    <row r="26" spans="1:24" x14ac:dyDescent="0.25">
      <c r="A26" s="32">
        <v>25</v>
      </c>
      <c r="B26" s="32" t="s">
        <v>186</v>
      </c>
      <c r="C26" s="32" t="s">
        <v>20</v>
      </c>
      <c r="D26" s="32" t="s">
        <v>79</v>
      </c>
      <c r="E26" s="32" t="s">
        <v>32</v>
      </c>
      <c r="F26" s="32">
        <v>0</v>
      </c>
      <c r="G26" s="33">
        <v>140</v>
      </c>
      <c r="H26" s="33">
        <v>400</v>
      </c>
      <c r="I26" s="34">
        <v>0.35</v>
      </c>
      <c r="J26" s="35">
        <v>46054</v>
      </c>
      <c r="K26" s="36">
        <v>46054</v>
      </c>
      <c r="L26" s="32" t="s">
        <v>25</v>
      </c>
      <c r="M26" s="32" t="s">
        <v>187</v>
      </c>
      <c r="N26" s="32" t="s">
        <v>187</v>
      </c>
      <c r="O26" s="32" t="s">
        <v>93</v>
      </c>
      <c r="P26" s="32" t="s">
        <v>94</v>
      </c>
      <c r="Q26" s="32" t="s">
        <v>95</v>
      </c>
      <c r="R26" s="32">
        <v>0</v>
      </c>
      <c r="S26" s="32">
        <v>1</v>
      </c>
      <c r="T26" s="32">
        <v>1</v>
      </c>
      <c r="U26" s="32">
        <v>0</v>
      </c>
      <c r="V26" s="32" t="s">
        <v>96</v>
      </c>
      <c r="W26" s="32" t="s">
        <v>188</v>
      </c>
      <c r="X26" s="32" t="s">
        <v>189</v>
      </c>
    </row>
    <row r="27" spans="1:24" x14ac:dyDescent="0.25">
      <c r="A27" s="32">
        <v>26</v>
      </c>
      <c r="B27" s="32" t="s">
        <v>190</v>
      </c>
      <c r="C27" s="32" t="s">
        <v>17</v>
      </c>
      <c r="D27" s="32" t="s">
        <v>79</v>
      </c>
      <c r="E27" s="32" t="s">
        <v>32</v>
      </c>
      <c r="F27" s="32">
        <v>0</v>
      </c>
      <c r="G27" s="33">
        <v>99</v>
      </c>
      <c r="H27" s="33">
        <v>127</v>
      </c>
      <c r="I27" s="34">
        <v>0.78</v>
      </c>
      <c r="J27" s="35">
        <v>46265</v>
      </c>
      <c r="K27" s="36">
        <v>46235</v>
      </c>
      <c r="L27" s="32" t="s">
        <v>80</v>
      </c>
      <c r="M27" s="32" t="s">
        <v>81</v>
      </c>
      <c r="N27" s="32" t="s">
        <v>82</v>
      </c>
      <c r="O27" s="32" t="s">
        <v>93</v>
      </c>
      <c r="P27" s="32" t="s">
        <v>94</v>
      </c>
      <c r="Q27" s="32" t="s">
        <v>137</v>
      </c>
      <c r="R27" s="32">
        <v>0</v>
      </c>
      <c r="S27" s="32">
        <v>1</v>
      </c>
      <c r="T27" s="32">
        <v>1</v>
      </c>
      <c r="U27" s="32">
        <v>0</v>
      </c>
      <c r="V27" s="32" t="s">
        <v>96</v>
      </c>
      <c r="W27" s="32" t="s">
        <v>191</v>
      </c>
      <c r="X27" s="32" t="s">
        <v>192</v>
      </c>
    </row>
    <row r="28" spans="1:24" x14ac:dyDescent="0.25">
      <c r="A28" s="32">
        <v>27</v>
      </c>
      <c r="B28" s="32" t="s">
        <v>193</v>
      </c>
      <c r="C28" s="32" t="s">
        <v>33</v>
      </c>
      <c r="D28" s="32" t="s">
        <v>90</v>
      </c>
      <c r="E28" s="32" t="s">
        <v>30</v>
      </c>
      <c r="F28" s="32">
        <v>1</v>
      </c>
      <c r="G28" s="33">
        <v>200</v>
      </c>
      <c r="H28" s="33">
        <v>500</v>
      </c>
      <c r="I28" s="34">
        <v>0.4</v>
      </c>
      <c r="J28" s="35">
        <v>46189</v>
      </c>
      <c r="K28" s="36">
        <v>46174</v>
      </c>
      <c r="L28" s="32" t="s">
        <v>80</v>
      </c>
      <c r="M28" s="32" t="s">
        <v>194</v>
      </c>
      <c r="N28" s="32" t="s">
        <v>195</v>
      </c>
      <c r="O28" s="32" t="s">
        <v>93</v>
      </c>
      <c r="P28" s="32" t="s">
        <v>94</v>
      </c>
      <c r="Q28" s="32" t="s">
        <v>95</v>
      </c>
      <c r="R28" s="32">
        <v>0</v>
      </c>
      <c r="S28" s="32">
        <v>1</v>
      </c>
      <c r="T28" s="32">
        <v>1</v>
      </c>
      <c r="U28" s="32">
        <v>0</v>
      </c>
      <c r="V28" s="32" t="s">
        <v>96</v>
      </c>
      <c r="W28" s="32" t="s">
        <v>97</v>
      </c>
      <c r="X28" s="32" t="s">
        <v>196</v>
      </c>
    </row>
    <row r="29" spans="1:24" x14ac:dyDescent="0.25">
      <c r="A29" s="32">
        <v>28</v>
      </c>
      <c r="B29" s="32" t="s">
        <v>197</v>
      </c>
      <c r="C29" s="32" t="s">
        <v>17</v>
      </c>
      <c r="D29" s="32" t="s">
        <v>79</v>
      </c>
      <c r="E29" s="32" t="s">
        <v>32</v>
      </c>
      <c r="F29" s="32">
        <v>0</v>
      </c>
      <c r="G29" s="33">
        <v>86</v>
      </c>
      <c r="H29" s="33">
        <v>1400</v>
      </c>
      <c r="I29" s="34">
        <v>6.0999999999999999E-2</v>
      </c>
      <c r="J29" s="35">
        <v>46297</v>
      </c>
      <c r="K29" s="36">
        <v>46296</v>
      </c>
      <c r="L29" s="32" t="s">
        <v>80</v>
      </c>
      <c r="M29" s="32" t="s">
        <v>178</v>
      </c>
      <c r="N29" s="32" t="s">
        <v>198</v>
      </c>
      <c r="O29" s="32" t="s">
        <v>125</v>
      </c>
      <c r="P29" s="32" t="s">
        <v>84</v>
      </c>
      <c r="Q29" s="32" t="s">
        <v>137</v>
      </c>
      <c r="R29" s="32">
        <v>0</v>
      </c>
      <c r="S29" s="32">
        <v>1</v>
      </c>
      <c r="T29" s="32">
        <v>1</v>
      </c>
      <c r="U29" s="32">
        <v>0</v>
      </c>
      <c r="V29" s="32" t="s">
        <v>96</v>
      </c>
      <c r="W29" s="32" t="s">
        <v>199</v>
      </c>
      <c r="X29" s="32" t="s">
        <v>200</v>
      </c>
    </row>
    <row r="30" spans="1:24" x14ac:dyDescent="0.25">
      <c r="A30" s="32">
        <v>29</v>
      </c>
      <c r="B30" s="32" t="s">
        <v>201</v>
      </c>
      <c r="C30" s="32" t="s">
        <v>29</v>
      </c>
      <c r="D30" s="32" t="s">
        <v>79</v>
      </c>
      <c r="E30" s="32" t="s">
        <v>32</v>
      </c>
      <c r="F30" s="32">
        <v>0</v>
      </c>
      <c r="G30" s="33">
        <v>60</v>
      </c>
      <c r="H30" s="33">
        <v>3300</v>
      </c>
      <c r="I30" s="34">
        <v>1.7999999999999999E-2</v>
      </c>
      <c r="J30" s="35">
        <v>46157</v>
      </c>
      <c r="K30" s="36">
        <v>46143</v>
      </c>
      <c r="L30" s="32" t="s">
        <v>80</v>
      </c>
      <c r="M30" s="32" t="s">
        <v>91</v>
      </c>
      <c r="N30" s="32" t="s">
        <v>202</v>
      </c>
      <c r="O30" s="32" t="s">
        <v>125</v>
      </c>
      <c r="P30" s="32" t="s">
        <v>101</v>
      </c>
      <c r="Q30" s="32" t="s">
        <v>137</v>
      </c>
      <c r="R30" s="32">
        <v>0</v>
      </c>
      <c r="S30" s="32">
        <v>1</v>
      </c>
      <c r="T30" s="32">
        <v>1</v>
      </c>
      <c r="U30" s="32">
        <v>0</v>
      </c>
      <c r="V30" s="32" t="s">
        <v>96</v>
      </c>
      <c r="W30" s="32" t="s">
        <v>203</v>
      </c>
      <c r="X30" s="32" t="s">
        <v>204</v>
      </c>
    </row>
    <row r="31" spans="1:24" x14ac:dyDescent="0.25">
      <c r="A31" s="32">
        <v>30</v>
      </c>
      <c r="B31" s="32" t="s">
        <v>205</v>
      </c>
      <c r="C31" s="32" t="s">
        <v>33</v>
      </c>
      <c r="D31" s="32" t="s">
        <v>90</v>
      </c>
      <c r="E31" s="32" t="s">
        <v>30</v>
      </c>
      <c r="F31" s="32">
        <v>1</v>
      </c>
      <c r="G31" s="33">
        <v>1600</v>
      </c>
      <c r="H31" s="33">
        <v>16000</v>
      </c>
      <c r="I31" s="34">
        <v>0.1</v>
      </c>
      <c r="J31" s="35">
        <v>46092</v>
      </c>
      <c r="K31" s="36">
        <v>46082</v>
      </c>
      <c r="L31" s="32" t="s">
        <v>80</v>
      </c>
      <c r="M31" s="32" t="s">
        <v>106</v>
      </c>
      <c r="N31" s="32" t="s">
        <v>206</v>
      </c>
      <c r="O31" s="32" t="s">
        <v>83</v>
      </c>
      <c r="P31" s="32" t="s">
        <v>119</v>
      </c>
      <c r="Q31" s="32" t="s">
        <v>102</v>
      </c>
      <c r="R31" s="32">
        <v>0</v>
      </c>
      <c r="S31" s="32">
        <v>1</v>
      </c>
      <c r="T31" s="32">
        <v>1</v>
      </c>
      <c r="U31" s="32">
        <v>0</v>
      </c>
      <c r="V31" s="32" t="s">
        <v>96</v>
      </c>
      <c r="W31" s="32" t="s">
        <v>207</v>
      </c>
      <c r="X31" s="32" t="s">
        <v>208</v>
      </c>
    </row>
    <row r="32" spans="1:24" x14ac:dyDescent="0.25">
      <c r="A32" s="32">
        <v>31</v>
      </c>
      <c r="B32" s="32" t="s">
        <v>209</v>
      </c>
      <c r="C32" s="32" t="s">
        <v>33</v>
      </c>
      <c r="D32" s="32" t="s">
        <v>90</v>
      </c>
      <c r="E32" s="32" t="s">
        <v>32</v>
      </c>
      <c r="F32" s="32">
        <v>0</v>
      </c>
      <c r="G32" s="33">
        <v>1000</v>
      </c>
      <c r="H32" s="33">
        <v>14300</v>
      </c>
      <c r="I32" s="34">
        <v>7.0000000000000007E-2</v>
      </c>
      <c r="J32" s="35">
        <v>46044</v>
      </c>
      <c r="K32" s="36">
        <v>46023</v>
      </c>
      <c r="L32" s="32" t="s">
        <v>80</v>
      </c>
      <c r="M32" s="32" t="s">
        <v>100</v>
      </c>
      <c r="N32" s="32" t="s">
        <v>210</v>
      </c>
      <c r="O32" s="32" t="s">
        <v>83</v>
      </c>
      <c r="P32" s="32" t="s">
        <v>84</v>
      </c>
      <c r="Q32" s="32" t="s">
        <v>102</v>
      </c>
      <c r="R32" s="32">
        <v>0</v>
      </c>
      <c r="S32" s="32">
        <v>1</v>
      </c>
      <c r="T32" s="32">
        <v>1</v>
      </c>
      <c r="U32" s="32">
        <v>0</v>
      </c>
      <c r="V32" s="32" t="s">
        <v>211</v>
      </c>
      <c r="W32" s="32" t="s">
        <v>212</v>
      </c>
      <c r="X32" s="32" t="s">
        <v>213</v>
      </c>
    </row>
    <row r="33" spans="1:24" x14ac:dyDescent="0.25">
      <c r="A33" s="32">
        <v>32</v>
      </c>
      <c r="B33" s="32" t="s">
        <v>214</v>
      </c>
      <c r="C33" s="32" t="s">
        <v>17</v>
      </c>
      <c r="D33" s="32" t="s">
        <v>79</v>
      </c>
      <c r="E33" s="32" t="s">
        <v>32</v>
      </c>
      <c r="F33" s="32">
        <v>0</v>
      </c>
      <c r="G33" s="33">
        <v>98</v>
      </c>
      <c r="H33" s="33">
        <v>752</v>
      </c>
      <c r="I33" s="34">
        <v>0.13</v>
      </c>
      <c r="J33" s="35">
        <v>46142</v>
      </c>
      <c r="K33" s="36">
        <v>46113</v>
      </c>
      <c r="L33" s="32" t="s">
        <v>80</v>
      </c>
      <c r="M33" s="32" t="s">
        <v>144</v>
      </c>
      <c r="N33" s="32" t="s">
        <v>215</v>
      </c>
      <c r="O33" s="32" t="s">
        <v>93</v>
      </c>
      <c r="P33" s="32" t="s">
        <v>119</v>
      </c>
      <c r="Q33" s="32" t="s">
        <v>137</v>
      </c>
      <c r="R33" s="32">
        <v>0</v>
      </c>
      <c r="S33" s="32">
        <v>1</v>
      </c>
      <c r="T33" s="32">
        <v>1</v>
      </c>
      <c r="U33" s="32">
        <v>0</v>
      </c>
      <c r="V33" s="32" t="s">
        <v>96</v>
      </c>
      <c r="W33" s="32" t="s">
        <v>191</v>
      </c>
      <c r="X33" s="32" t="s">
        <v>216</v>
      </c>
    </row>
    <row r="34" spans="1:24" x14ac:dyDescent="0.25">
      <c r="A34" s="32">
        <v>33</v>
      </c>
      <c r="B34" s="32" t="s">
        <v>217</v>
      </c>
      <c r="C34" s="32" t="s">
        <v>29</v>
      </c>
      <c r="D34" s="32" t="s">
        <v>79</v>
      </c>
      <c r="E34" s="32" t="s">
        <v>36</v>
      </c>
      <c r="F34" s="32">
        <v>0</v>
      </c>
      <c r="G34" s="33">
        <v>2000</v>
      </c>
      <c r="H34" s="33">
        <v>21508</v>
      </c>
      <c r="I34" s="34">
        <v>9.2999999999999999E-2</v>
      </c>
      <c r="J34" s="35">
        <v>46127</v>
      </c>
      <c r="K34" s="36">
        <v>46113</v>
      </c>
      <c r="L34" s="32" t="s">
        <v>80</v>
      </c>
      <c r="M34" s="32" t="s">
        <v>144</v>
      </c>
      <c r="N34" s="32" t="s">
        <v>218</v>
      </c>
      <c r="O34" s="32" t="s">
        <v>83</v>
      </c>
      <c r="P34" s="32" t="s">
        <v>84</v>
      </c>
      <c r="Q34" s="32" t="s">
        <v>102</v>
      </c>
      <c r="R34" s="32">
        <v>0</v>
      </c>
      <c r="S34" s="32">
        <v>1</v>
      </c>
      <c r="T34" s="32">
        <v>3</v>
      </c>
      <c r="U34" s="32">
        <v>1</v>
      </c>
      <c r="V34" s="32" t="s">
        <v>96</v>
      </c>
      <c r="W34" s="32" t="s">
        <v>219</v>
      </c>
      <c r="X34" s="32" t="s">
        <v>220</v>
      </c>
    </row>
    <row r="35" spans="1:24" x14ac:dyDescent="0.25">
      <c r="A35" s="32">
        <v>34</v>
      </c>
      <c r="B35" s="32" t="s">
        <v>217</v>
      </c>
      <c r="C35" s="32" t="s">
        <v>29</v>
      </c>
      <c r="D35" s="32" t="s">
        <v>79</v>
      </c>
      <c r="E35" s="32" t="s">
        <v>36</v>
      </c>
      <c r="F35" s="32">
        <v>0</v>
      </c>
      <c r="G35" s="33">
        <v>110</v>
      </c>
      <c r="H35" s="33">
        <v>21508</v>
      </c>
      <c r="I35" s="34">
        <v>5.0000000000000001E-3</v>
      </c>
      <c r="J35" s="35">
        <v>46293</v>
      </c>
      <c r="K35" s="36">
        <v>46266</v>
      </c>
      <c r="L35" s="32" t="s">
        <v>80</v>
      </c>
      <c r="M35" s="32" t="s">
        <v>151</v>
      </c>
      <c r="N35" s="32" t="s">
        <v>221</v>
      </c>
      <c r="O35" s="32" t="s">
        <v>83</v>
      </c>
      <c r="P35" s="32" t="s">
        <v>101</v>
      </c>
      <c r="Q35" s="32" t="s">
        <v>95</v>
      </c>
      <c r="R35" s="32">
        <v>0</v>
      </c>
      <c r="S35" s="32">
        <v>2</v>
      </c>
      <c r="T35" s="32">
        <v>3</v>
      </c>
      <c r="U35" s="32">
        <v>1</v>
      </c>
      <c r="V35" s="32" t="s">
        <v>96</v>
      </c>
      <c r="W35" s="32" t="s">
        <v>222</v>
      </c>
      <c r="X35" s="32" t="s">
        <v>223</v>
      </c>
    </row>
    <row r="36" spans="1:24" x14ac:dyDescent="0.25">
      <c r="A36" s="32">
        <v>35</v>
      </c>
      <c r="B36" s="32" t="s">
        <v>217</v>
      </c>
      <c r="C36" s="32" t="s">
        <v>29</v>
      </c>
      <c r="D36" s="32" t="s">
        <v>79</v>
      </c>
      <c r="E36" s="32" t="s">
        <v>36</v>
      </c>
      <c r="F36" s="32">
        <v>0</v>
      </c>
      <c r="G36" s="33">
        <v>90</v>
      </c>
      <c r="H36" s="33">
        <v>21508</v>
      </c>
      <c r="I36" s="34">
        <v>4.0000000000000001E-3</v>
      </c>
      <c r="J36" s="35">
        <v>46296</v>
      </c>
      <c r="K36" s="36">
        <v>46296</v>
      </c>
      <c r="L36" s="32" t="s">
        <v>80</v>
      </c>
      <c r="M36" s="32" t="s">
        <v>178</v>
      </c>
      <c r="N36" s="32" t="s">
        <v>179</v>
      </c>
      <c r="O36" s="32" t="s">
        <v>83</v>
      </c>
      <c r="P36" s="32" t="s">
        <v>101</v>
      </c>
      <c r="Q36" s="32" t="s">
        <v>137</v>
      </c>
      <c r="R36" s="32">
        <v>0</v>
      </c>
      <c r="S36" s="32">
        <v>3</v>
      </c>
      <c r="T36" s="32">
        <v>3</v>
      </c>
      <c r="U36" s="32">
        <v>1</v>
      </c>
      <c r="V36" s="32" t="s">
        <v>96</v>
      </c>
      <c r="W36" s="32" t="s">
        <v>224</v>
      </c>
      <c r="X36" s="32" t="s">
        <v>225</v>
      </c>
    </row>
    <row r="37" spans="1:24" x14ac:dyDescent="0.25">
      <c r="A37" s="32">
        <v>36</v>
      </c>
      <c r="B37" s="32" t="s">
        <v>226</v>
      </c>
      <c r="C37" s="32" t="s">
        <v>5</v>
      </c>
      <c r="D37" s="32" t="s">
        <v>90</v>
      </c>
      <c r="E37" s="32" t="s">
        <v>32</v>
      </c>
      <c r="F37" s="32">
        <v>0</v>
      </c>
      <c r="G37" s="33">
        <v>700</v>
      </c>
      <c r="H37" s="33">
        <v>2333</v>
      </c>
      <c r="I37" s="34">
        <v>0.3</v>
      </c>
      <c r="J37" s="35">
        <v>46149</v>
      </c>
      <c r="K37" s="36">
        <v>46143</v>
      </c>
      <c r="L37" s="32" t="s">
        <v>80</v>
      </c>
      <c r="M37" s="32" t="s">
        <v>91</v>
      </c>
      <c r="N37" s="32" t="s">
        <v>227</v>
      </c>
      <c r="O37" s="32" t="s">
        <v>125</v>
      </c>
      <c r="P37" s="32" t="s">
        <v>94</v>
      </c>
      <c r="Q37" s="32" t="s">
        <v>85</v>
      </c>
      <c r="R37" s="32">
        <v>0</v>
      </c>
      <c r="S37" s="32">
        <v>1</v>
      </c>
      <c r="T37" s="32">
        <v>1</v>
      </c>
      <c r="U37" s="32">
        <v>0</v>
      </c>
      <c r="V37" s="32" t="s">
        <v>96</v>
      </c>
      <c r="W37" s="32" t="s">
        <v>228</v>
      </c>
      <c r="X37" s="32" t="s">
        <v>229</v>
      </c>
    </row>
    <row r="38" spans="1:24" x14ac:dyDescent="0.25">
      <c r="A38" s="32">
        <v>37</v>
      </c>
      <c r="B38" s="32" t="s">
        <v>230</v>
      </c>
      <c r="C38" s="32" t="s">
        <v>2</v>
      </c>
      <c r="D38" s="32" t="s">
        <v>79</v>
      </c>
      <c r="E38" s="32" t="s">
        <v>36</v>
      </c>
      <c r="F38" s="32">
        <v>0</v>
      </c>
      <c r="G38" s="33">
        <v>8000</v>
      </c>
      <c r="H38" s="33">
        <v>154000</v>
      </c>
      <c r="I38" s="34">
        <v>5.1999999999999998E-2</v>
      </c>
      <c r="J38" s="35">
        <v>46232</v>
      </c>
      <c r="K38" s="36">
        <v>46204</v>
      </c>
      <c r="L38" s="32" t="s">
        <v>80</v>
      </c>
      <c r="M38" s="32" t="s">
        <v>123</v>
      </c>
      <c r="N38" s="32" t="s">
        <v>231</v>
      </c>
      <c r="O38" s="32" t="s">
        <v>113</v>
      </c>
      <c r="P38" s="32" t="s">
        <v>84</v>
      </c>
      <c r="Q38" s="32" t="s">
        <v>114</v>
      </c>
      <c r="R38" s="32">
        <v>0</v>
      </c>
      <c r="S38" s="32">
        <v>1</v>
      </c>
      <c r="T38" s="32">
        <v>1</v>
      </c>
      <c r="U38" s="32">
        <v>0</v>
      </c>
      <c r="V38" s="32" t="s">
        <v>96</v>
      </c>
      <c r="W38" s="32" t="s">
        <v>232</v>
      </c>
      <c r="X38" s="32" t="s">
        <v>233</v>
      </c>
    </row>
    <row r="39" spans="1:24" x14ac:dyDescent="0.25">
      <c r="A39" s="32">
        <v>38</v>
      </c>
      <c r="B39" s="32" t="s">
        <v>234</v>
      </c>
      <c r="C39" s="32" t="s">
        <v>20</v>
      </c>
      <c r="D39" s="32" t="s">
        <v>79</v>
      </c>
      <c r="E39" s="32" t="s">
        <v>32</v>
      </c>
      <c r="F39" s="32">
        <v>0</v>
      </c>
      <c r="G39" s="33">
        <v>115</v>
      </c>
      <c r="H39" s="33">
        <v>500</v>
      </c>
      <c r="I39" s="34">
        <v>0.23</v>
      </c>
      <c r="J39" s="35">
        <v>46281</v>
      </c>
      <c r="K39" s="36">
        <v>46266</v>
      </c>
      <c r="L39" s="32" t="s">
        <v>80</v>
      </c>
      <c r="M39" s="32" t="s">
        <v>151</v>
      </c>
      <c r="N39" s="32" t="s">
        <v>235</v>
      </c>
      <c r="O39" s="32" t="s">
        <v>93</v>
      </c>
      <c r="P39" s="32" t="s">
        <v>119</v>
      </c>
      <c r="Q39" s="32" t="s">
        <v>95</v>
      </c>
      <c r="R39" s="32">
        <v>0</v>
      </c>
      <c r="S39" s="32">
        <v>1</v>
      </c>
      <c r="T39" s="32">
        <v>1</v>
      </c>
      <c r="U39" s="32">
        <v>0</v>
      </c>
      <c r="V39" s="32" t="s">
        <v>96</v>
      </c>
      <c r="W39" s="32" t="s">
        <v>236</v>
      </c>
      <c r="X39" s="32" t="s">
        <v>237</v>
      </c>
    </row>
    <row r="40" spans="1:24" x14ac:dyDescent="0.25">
      <c r="A40" s="32">
        <v>39</v>
      </c>
      <c r="B40" s="32" t="s">
        <v>238</v>
      </c>
      <c r="C40" s="32" t="s">
        <v>20</v>
      </c>
      <c r="D40" s="32" t="s">
        <v>79</v>
      </c>
      <c r="E40" s="32" t="s">
        <v>32</v>
      </c>
      <c r="F40" s="32">
        <v>0</v>
      </c>
      <c r="G40" s="33">
        <v>59</v>
      </c>
      <c r="H40" s="33">
        <v>2000</v>
      </c>
      <c r="I40" s="34">
        <v>2.8999999999999901E-2</v>
      </c>
      <c r="J40" s="35">
        <v>46280</v>
      </c>
      <c r="K40" s="36">
        <v>46266</v>
      </c>
      <c r="L40" s="32" t="s">
        <v>80</v>
      </c>
      <c r="M40" s="32" t="s">
        <v>151</v>
      </c>
      <c r="N40" s="32" t="s">
        <v>239</v>
      </c>
      <c r="O40" s="32" t="s">
        <v>125</v>
      </c>
      <c r="P40" s="32" t="s">
        <v>101</v>
      </c>
      <c r="Q40" s="32" t="s">
        <v>137</v>
      </c>
      <c r="R40" s="32">
        <v>0</v>
      </c>
      <c r="S40" s="32">
        <v>1</v>
      </c>
      <c r="T40" s="32">
        <v>1</v>
      </c>
      <c r="U40" s="32">
        <v>0</v>
      </c>
      <c r="V40" s="32" t="s">
        <v>96</v>
      </c>
      <c r="W40" s="32" t="s">
        <v>240</v>
      </c>
      <c r="X40" s="32" t="s">
        <v>241</v>
      </c>
    </row>
    <row r="41" spans="1:24" x14ac:dyDescent="0.25">
      <c r="A41" s="32">
        <v>40</v>
      </c>
      <c r="B41" s="32" t="s">
        <v>242</v>
      </c>
      <c r="C41" s="32" t="s">
        <v>35</v>
      </c>
      <c r="D41" s="32" t="s">
        <v>90</v>
      </c>
      <c r="E41" s="32" t="s">
        <v>32</v>
      </c>
      <c r="F41" s="32">
        <v>0</v>
      </c>
      <c r="G41" s="33">
        <v>690</v>
      </c>
      <c r="H41" s="33">
        <v>38683</v>
      </c>
      <c r="I41" s="34">
        <v>1.7999999999999999E-2</v>
      </c>
      <c r="J41" s="35">
        <v>46188</v>
      </c>
      <c r="K41" s="36">
        <v>46174</v>
      </c>
      <c r="L41" s="32" t="s">
        <v>80</v>
      </c>
      <c r="M41" s="32" t="s">
        <v>194</v>
      </c>
      <c r="N41" s="32" t="s">
        <v>243</v>
      </c>
      <c r="O41" s="32" t="s">
        <v>83</v>
      </c>
      <c r="P41" s="32" t="s">
        <v>101</v>
      </c>
      <c r="Q41" s="32" t="s">
        <v>85</v>
      </c>
      <c r="R41" s="32">
        <v>0</v>
      </c>
      <c r="S41" s="32">
        <v>1</v>
      </c>
      <c r="T41" s="32">
        <v>1</v>
      </c>
      <c r="U41" s="32">
        <v>0</v>
      </c>
      <c r="V41" s="32" t="s">
        <v>96</v>
      </c>
      <c r="W41" s="32" t="s">
        <v>244</v>
      </c>
      <c r="X41" s="32" t="s">
        <v>245</v>
      </c>
    </row>
    <row r="42" spans="1:24" x14ac:dyDescent="0.25">
      <c r="A42" s="32">
        <v>41</v>
      </c>
      <c r="B42" s="32" t="s">
        <v>246</v>
      </c>
      <c r="C42" s="32" t="s">
        <v>17</v>
      </c>
      <c r="D42" s="32" t="s">
        <v>79</v>
      </c>
      <c r="E42" s="32" t="s">
        <v>36</v>
      </c>
      <c r="F42" s="32">
        <v>0</v>
      </c>
      <c r="G42" s="33">
        <v>86</v>
      </c>
      <c r="H42" s="33">
        <v>288</v>
      </c>
      <c r="I42" s="34">
        <v>0.29899999999999999</v>
      </c>
      <c r="J42" s="35">
        <v>46098</v>
      </c>
      <c r="K42" s="36">
        <v>46082</v>
      </c>
      <c r="L42" s="32" t="s">
        <v>80</v>
      </c>
      <c r="M42" s="32" t="s">
        <v>106</v>
      </c>
      <c r="N42" s="32" t="s">
        <v>247</v>
      </c>
      <c r="O42" s="32" t="s">
        <v>93</v>
      </c>
      <c r="P42" s="32" t="s">
        <v>94</v>
      </c>
      <c r="Q42" s="32" t="s">
        <v>137</v>
      </c>
      <c r="R42" s="32">
        <v>0</v>
      </c>
      <c r="S42" s="32">
        <v>1</v>
      </c>
      <c r="T42" s="32">
        <v>1</v>
      </c>
      <c r="U42" s="32">
        <v>0</v>
      </c>
      <c r="V42" s="32" t="s">
        <v>96</v>
      </c>
      <c r="W42" s="32" t="s">
        <v>248</v>
      </c>
      <c r="X42" s="32" t="s">
        <v>249</v>
      </c>
    </row>
    <row r="43" spans="1:24" x14ac:dyDescent="0.25">
      <c r="A43" s="32">
        <v>42</v>
      </c>
      <c r="B43" s="32" t="s">
        <v>250</v>
      </c>
      <c r="C43" s="32" t="s">
        <v>33</v>
      </c>
      <c r="D43" s="32" t="s">
        <v>90</v>
      </c>
      <c r="E43" s="32" t="s">
        <v>30</v>
      </c>
      <c r="F43" s="32">
        <v>1</v>
      </c>
      <c r="G43" s="33">
        <v>150</v>
      </c>
      <c r="H43" s="33">
        <v>650</v>
      </c>
      <c r="I43" s="34">
        <v>0.23100000000000001</v>
      </c>
      <c r="J43" s="35">
        <v>46169</v>
      </c>
      <c r="K43" s="36">
        <v>46143</v>
      </c>
      <c r="L43" s="32" t="s">
        <v>80</v>
      </c>
      <c r="M43" s="32" t="s">
        <v>91</v>
      </c>
      <c r="N43" s="32" t="s">
        <v>251</v>
      </c>
      <c r="O43" s="32" t="s">
        <v>93</v>
      </c>
      <c r="P43" s="32" t="s">
        <v>119</v>
      </c>
      <c r="Q43" s="32" t="s">
        <v>95</v>
      </c>
      <c r="R43" s="32">
        <v>0</v>
      </c>
      <c r="S43" s="32">
        <v>1</v>
      </c>
      <c r="T43" s="32">
        <v>1</v>
      </c>
      <c r="U43" s="32">
        <v>0</v>
      </c>
      <c r="V43" s="32" t="s">
        <v>96</v>
      </c>
      <c r="W43" s="32" t="s">
        <v>252</v>
      </c>
      <c r="X43" s="32" t="s">
        <v>253</v>
      </c>
    </row>
    <row r="44" spans="1:24" x14ac:dyDescent="0.25">
      <c r="A44" s="32">
        <v>43</v>
      </c>
      <c r="B44" s="32" t="s">
        <v>254</v>
      </c>
      <c r="C44" s="32" t="s">
        <v>20</v>
      </c>
      <c r="D44" s="32" t="s">
        <v>79</v>
      </c>
      <c r="E44" s="32" t="s">
        <v>32</v>
      </c>
      <c r="F44" s="32">
        <v>0</v>
      </c>
      <c r="G44" s="33">
        <v>1500</v>
      </c>
      <c r="H44" s="33">
        <v>31000</v>
      </c>
      <c r="I44" s="34">
        <v>4.8000000000000001E-2</v>
      </c>
      <c r="J44" s="35">
        <v>46282</v>
      </c>
      <c r="K44" s="36">
        <v>46266</v>
      </c>
      <c r="L44" s="32" t="s">
        <v>80</v>
      </c>
      <c r="M44" s="32" t="s">
        <v>151</v>
      </c>
      <c r="N44" s="32" t="s">
        <v>152</v>
      </c>
      <c r="O44" s="32" t="s">
        <v>83</v>
      </c>
      <c r="P44" s="32" t="s">
        <v>101</v>
      </c>
      <c r="Q44" s="32" t="s">
        <v>102</v>
      </c>
      <c r="R44" s="32">
        <v>0</v>
      </c>
      <c r="S44" s="32">
        <v>1</v>
      </c>
      <c r="T44" s="32">
        <v>1</v>
      </c>
      <c r="U44" s="32">
        <v>0</v>
      </c>
      <c r="V44" s="32" t="s">
        <v>96</v>
      </c>
      <c r="W44" s="32" t="s">
        <v>255</v>
      </c>
      <c r="X44" s="32" t="s">
        <v>256</v>
      </c>
    </row>
    <row r="45" spans="1:24" x14ac:dyDescent="0.25">
      <c r="A45" s="32">
        <v>44</v>
      </c>
      <c r="B45" s="32" t="s">
        <v>257</v>
      </c>
      <c r="C45" s="32" t="s">
        <v>17</v>
      </c>
      <c r="D45" s="32" t="s">
        <v>79</v>
      </c>
      <c r="E45" s="32" t="s">
        <v>32</v>
      </c>
      <c r="F45" s="32">
        <v>0</v>
      </c>
      <c r="G45" s="33">
        <v>117</v>
      </c>
      <c r="H45" s="33">
        <v>3221</v>
      </c>
      <c r="I45" s="34">
        <v>3.5999999999999997E-2</v>
      </c>
      <c r="J45" s="35">
        <v>46289</v>
      </c>
      <c r="K45" s="36">
        <v>46266</v>
      </c>
      <c r="L45" s="32" t="s">
        <v>80</v>
      </c>
      <c r="M45" s="32" t="s">
        <v>151</v>
      </c>
      <c r="N45" s="32" t="s">
        <v>258</v>
      </c>
      <c r="O45" s="32" t="s">
        <v>125</v>
      </c>
      <c r="P45" s="32" t="s">
        <v>101</v>
      </c>
      <c r="Q45" s="32" t="s">
        <v>95</v>
      </c>
      <c r="R45" s="32">
        <v>0</v>
      </c>
      <c r="S45" s="32">
        <v>1</v>
      </c>
      <c r="T45" s="32">
        <v>1</v>
      </c>
      <c r="U45" s="32">
        <v>0</v>
      </c>
      <c r="V45" s="32" t="s">
        <v>86</v>
      </c>
      <c r="W45" s="32" t="s">
        <v>87</v>
      </c>
      <c r="X45" s="32" t="s">
        <v>88</v>
      </c>
    </row>
    <row r="46" spans="1:24" x14ac:dyDescent="0.25">
      <c r="A46" s="32">
        <v>45</v>
      </c>
      <c r="B46" s="32" t="s">
        <v>259</v>
      </c>
      <c r="C46" s="32" t="s">
        <v>17</v>
      </c>
      <c r="D46" s="32" t="s">
        <v>79</v>
      </c>
      <c r="E46" s="32" t="s">
        <v>34</v>
      </c>
      <c r="F46" s="32">
        <v>0</v>
      </c>
      <c r="G46" s="33">
        <v>1860</v>
      </c>
      <c r="H46" s="33">
        <v>8455</v>
      </c>
      <c r="I46" s="34">
        <v>0.22</v>
      </c>
      <c r="J46" s="35">
        <v>46147</v>
      </c>
      <c r="K46" s="36">
        <v>46143</v>
      </c>
      <c r="L46" s="32" t="s">
        <v>80</v>
      </c>
      <c r="M46" s="32" t="s">
        <v>91</v>
      </c>
      <c r="N46" s="32" t="s">
        <v>260</v>
      </c>
      <c r="O46" s="32" t="s">
        <v>125</v>
      </c>
      <c r="P46" s="32" t="s">
        <v>119</v>
      </c>
      <c r="Q46" s="32" t="s">
        <v>102</v>
      </c>
      <c r="R46" s="32">
        <v>0</v>
      </c>
      <c r="S46" s="32">
        <v>1</v>
      </c>
      <c r="T46" s="32">
        <v>1</v>
      </c>
      <c r="U46" s="32">
        <v>0</v>
      </c>
      <c r="V46" s="32" t="s">
        <v>96</v>
      </c>
      <c r="W46" s="32" t="s">
        <v>207</v>
      </c>
      <c r="X46" s="32" t="s">
        <v>261</v>
      </c>
    </row>
    <row r="47" spans="1:24" x14ac:dyDescent="0.25">
      <c r="A47" s="32">
        <v>46</v>
      </c>
      <c r="B47" s="32" t="s">
        <v>262</v>
      </c>
      <c r="C47" s="32" t="s">
        <v>5</v>
      </c>
      <c r="D47" s="32" t="s">
        <v>90</v>
      </c>
      <c r="E47" s="32" t="s">
        <v>32</v>
      </c>
      <c r="F47" s="32">
        <v>0</v>
      </c>
      <c r="G47" s="33">
        <v>85</v>
      </c>
      <c r="H47" s="33">
        <v>565</v>
      </c>
      <c r="I47" s="34">
        <v>0.15</v>
      </c>
      <c r="J47" s="35">
        <v>46198</v>
      </c>
      <c r="K47" s="36">
        <v>46174</v>
      </c>
      <c r="L47" s="32" t="s">
        <v>80</v>
      </c>
      <c r="M47" s="32" t="s">
        <v>194</v>
      </c>
      <c r="N47" s="32" t="s">
        <v>263</v>
      </c>
      <c r="O47" s="32" t="s">
        <v>93</v>
      </c>
      <c r="P47" s="32" t="s">
        <v>119</v>
      </c>
      <c r="Q47" s="32" t="s">
        <v>137</v>
      </c>
      <c r="R47" s="32">
        <v>0</v>
      </c>
      <c r="S47" s="32">
        <v>1</v>
      </c>
      <c r="T47" s="32">
        <v>1</v>
      </c>
      <c r="U47" s="32">
        <v>0</v>
      </c>
      <c r="V47" s="32" t="s">
        <v>96</v>
      </c>
      <c r="W47" s="32" t="s">
        <v>264</v>
      </c>
      <c r="X47" s="32" t="s">
        <v>265</v>
      </c>
    </row>
    <row r="48" spans="1:24" x14ac:dyDescent="0.25">
      <c r="A48" s="32">
        <v>47</v>
      </c>
      <c r="B48" s="32" t="s">
        <v>266</v>
      </c>
      <c r="C48" s="32" t="s">
        <v>5</v>
      </c>
      <c r="D48" s="32" t="s">
        <v>90</v>
      </c>
      <c r="E48" s="32" t="s">
        <v>36</v>
      </c>
      <c r="F48" s="32">
        <v>0</v>
      </c>
      <c r="G48" s="33">
        <v>60</v>
      </c>
      <c r="H48" s="33">
        <v>200</v>
      </c>
      <c r="I48" s="34">
        <v>0.3</v>
      </c>
      <c r="J48" s="35">
        <v>46276</v>
      </c>
      <c r="K48" s="36">
        <v>46266</v>
      </c>
      <c r="L48" s="32" t="s">
        <v>80</v>
      </c>
      <c r="M48" s="32" t="s">
        <v>151</v>
      </c>
      <c r="N48" s="32" t="s">
        <v>267</v>
      </c>
      <c r="O48" s="32" t="s">
        <v>93</v>
      </c>
      <c r="P48" s="32" t="s">
        <v>94</v>
      </c>
      <c r="Q48" s="32" t="s">
        <v>137</v>
      </c>
      <c r="R48" s="32">
        <v>0</v>
      </c>
      <c r="S48" s="32">
        <v>1</v>
      </c>
      <c r="T48" s="32">
        <v>1</v>
      </c>
      <c r="U48" s="32">
        <v>0</v>
      </c>
      <c r="V48" s="32" t="s">
        <v>96</v>
      </c>
      <c r="W48" s="32" t="s">
        <v>268</v>
      </c>
      <c r="X48" s="32" t="s">
        <v>269</v>
      </c>
    </row>
    <row r="49" spans="1:24" x14ac:dyDescent="0.25">
      <c r="A49" s="32">
        <v>48</v>
      </c>
      <c r="B49" s="32" t="s">
        <v>270</v>
      </c>
      <c r="C49" s="32" t="s">
        <v>15</v>
      </c>
      <c r="D49" s="32" t="s">
        <v>79</v>
      </c>
      <c r="E49" s="32" t="s">
        <v>36</v>
      </c>
      <c r="F49" s="32">
        <v>0</v>
      </c>
      <c r="G49" s="33">
        <v>250</v>
      </c>
      <c r="H49" s="33">
        <v>24600</v>
      </c>
      <c r="I49" s="34">
        <v>0.01</v>
      </c>
      <c r="J49" s="35">
        <v>46023</v>
      </c>
      <c r="K49" s="36">
        <v>46023</v>
      </c>
      <c r="L49" s="32" t="s">
        <v>25</v>
      </c>
      <c r="M49" s="32" t="s">
        <v>100</v>
      </c>
      <c r="N49" s="32" t="s">
        <v>100</v>
      </c>
      <c r="O49" s="32" t="s">
        <v>83</v>
      </c>
      <c r="P49" s="32" t="s">
        <v>101</v>
      </c>
      <c r="Q49" s="32" t="s">
        <v>95</v>
      </c>
      <c r="R49" s="32">
        <v>0</v>
      </c>
      <c r="S49" s="32">
        <v>1</v>
      </c>
      <c r="T49" s="32">
        <v>2</v>
      </c>
      <c r="U49" s="32">
        <v>1</v>
      </c>
      <c r="V49" s="32" t="s">
        <v>96</v>
      </c>
      <c r="W49" s="32" t="s">
        <v>264</v>
      </c>
      <c r="X49" s="32" t="s">
        <v>271</v>
      </c>
    </row>
    <row r="50" spans="1:24" x14ac:dyDescent="0.25">
      <c r="A50" s="32">
        <v>49</v>
      </c>
      <c r="B50" s="32" t="s">
        <v>270</v>
      </c>
      <c r="C50" s="32" t="s">
        <v>15</v>
      </c>
      <c r="D50" s="32" t="s">
        <v>79</v>
      </c>
      <c r="E50" s="32" t="s">
        <v>36</v>
      </c>
      <c r="F50" s="32">
        <v>0</v>
      </c>
      <c r="G50" s="33">
        <v>200</v>
      </c>
      <c r="H50" s="33">
        <v>24600</v>
      </c>
      <c r="I50" s="34">
        <v>8.0000000000000002E-3</v>
      </c>
      <c r="J50" s="35">
        <v>46188</v>
      </c>
      <c r="K50" s="36">
        <v>46174</v>
      </c>
      <c r="L50" s="32" t="s">
        <v>80</v>
      </c>
      <c r="M50" s="32" t="s">
        <v>194</v>
      </c>
      <c r="N50" s="32" t="s">
        <v>243</v>
      </c>
      <c r="O50" s="32" t="s">
        <v>83</v>
      </c>
      <c r="P50" s="32" t="s">
        <v>101</v>
      </c>
      <c r="Q50" s="32" t="s">
        <v>95</v>
      </c>
      <c r="R50" s="32">
        <v>0</v>
      </c>
      <c r="S50" s="32">
        <v>2</v>
      </c>
      <c r="T50" s="32">
        <v>2</v>
      </c>
      <c r="U50" s="32">
        <v>1</v>
      </c>
      <c r="V50" s="32" t="s">
        <v>96</v>
      </c>
      <c r="W50" s="32" t="s">
        <v>272</v>
      </c>
      <c r="X50" s="32" t="s">
        <v>273</v>
      </c>
    </row>
    <row r="51" spans="1:24" x14ac:dyDescent="0.25">
      <c r="A51" s="32">
        <v>50</v>
      </c>
      <c r="B51" s="32" t="s">
        <v>274</v>
      </c>
      <c r="C51" s="32" t="s">
        <v>5</v>
      </c>
      <c r="D51" s="32" t="s">
        <v>90</v>
      </c>
      <c r="E51" s="32" t="s">
        <v>30</v>
      </c>
      <c r="F51" s="32">
        <v>1</v>
      </c>
      <c r="G51" s="33">
        <v>4000</v>
      </c>
      <c r="H51" s="33">
        <v>10000</v>
      </c>
      <c r="I51" s="34">
        <v>0.4</v>
      </c>
      <c r="J51" s="35">
        <v>46079</v>
      </c>
      <c r="K51" s="36">
        <v>46054</v>
      </c>
      <c r="L51" s="32" t="s">
        <v>80</v>
      </c>
      <c r="M51" s="32" t="s">
        <v>187</v>
      </c>
      <c r="N51" s="32" t="s">
        <v>275</v>
      </c>
      <c r="O51" s="32" t="s">
        <v>83</v>
      </c>
      <c r="P51" s="32" t="s">
        <v>94</v>
      </c>
      <c r="Q51" s="32" t="s">
        <v>102</v>
      </c>
      <c r="R51" s="32">
        <v>0</v>
      </c>
      <c r="S51" s="32">
        <v>1</v>
      </c>
      <c r="T51" s="32">
        <v>1</v>
      </c>
      <c r="U51" s="32">
        <v>0</v>
      </c>
      <c r="V51" s="32" t="s">
        <v>96</v>
      </c>
      <c r="W51" s="32" t="s">
        <v>276</v>
      </c>
      <c r="X51" s="32" t="s">
        <v>277</v>
      </c>
    </row>
    <row r="52" spans="1:24" x14ac:dyDescent="0.25">
      <c r="A52" s="32">
        <v>51</v>
      </c>
      <c r="B52" s="32" t="s">
        <v>278</v>
      </c>
      <c r="C52" s="32" t="s">
        <v>20</v>
      </c>
      <c r="D52" s="32" t="s">
        <v>79</v>
      </c>
      <c r="E52" s="32" t="s">
        <v>32</v>
      </c>
      <c r="F52" s="32">
        <v>0</v>
      </c>
      <c r="G52" s="33">
        <v>53</v>
      </c>
      <c r="H52" s="33">
        <v>1835</v>
      </c>
      <c r="I52" s="34">
        <v>2.8999999999999901E-2</v>
      </c>
      <c r="J52" s="35">
        <v>46262</v>
      </c>
      <c r="K52" s="36">
        <v>46235</v>
      </c>
      <c r="L52" s="32" t="s">
        <v>80</v>
      </c>
      <c r="M52" s="32" t="s">
        <v>81</v>
      </c>
      <c r="N52" s="32" t="s">
        <v>148</v>
      </c>
      <c r="O52" s="32" t="s">
        <v>125</v>
      </c>
      <c r="P52" s="32" t="s">
        <v>101</v>
      </c>
      <c r="Q52" s="32" t="s">
        <v>137</v>
      </c>
      <c r="R52" s="32">
        <v>0</v>
      </c>
      <c r="S52" s="32">
        <v>1</v>
      </c>
      <c r="T52" s="32">
        <v>1</v>
      </c>
      <c r="U52" s="32">
        <v>0</v>
      </c>
      <c r="V52" s="32" t="s">
        <v>86</v>
      </c>
      <c r="W52" s="32" t="s">
        <v>87</v>
      </c>
      <c r="X52" s="32" t="s">
        <v>88</v>
      </c>
    </row>
    <row r="53" spans="1:24" x14ac:dyDescent="0.25">
      <c r="A53" s="32">
        <v>52</v>
      </c>
      <c r="B53" s="32" t="s">
        <v>279</v>
      </c>
      <c r="C53" s="32" t="s">
        <v>17</v>
      </c>
      <c r="D53" s="32" t="s">
        <v>79</v>
      </c>
      <c r="E53" s="32" t="s">
        <v>32</v>
      </c>
      <c r="F53" s="32">
        <v>0</v>
      </c>
      <c r="G53" s="33">
        <v>60</v>
      </c>
      <c r="H53" s="33">
        <v>7500</v>
      </c>
      <c r="I53" s="34">
        <v>8.0000000000000002E-3</v>
      </c>
      <c r="J53" s="35">
        <v>46255</v>
      </c>
      <c r="K53" s="36">
        <v>46235</v>
      </c>
      <c r="L53" s="32" t="s">
        <v>80</v>
      </c>
      <c r="M53" s="32" t="s">
        <v>81</v>
      </c>
      <c r="N53" s="32" t="s">
        <v>174</v>
      </c>
      <c r="O53" s="32" t="s">
        <v>125</v>
      </c>
      <c r="P53" s="32" t="s">
        <v>101</v>
      </c>
      <c r="Q53" s="32" t="s">
        <v>137</v>
      </c>
      <c r="R53" s="32">
        <v>0</v>
      </c>
      <c r="S53" s="32">
        <v>1</v>
      </c>
      <c r="T53" s="32">
        <v>1</v>
      </c>
      <c r="U53" s="32">
        <v>0</v>
      </c>
      <c r="V53" s="32" t="s">
        <v>86</v>
      </c>
      <c r="W53" s="32" t="s">
        <v>87</v>
      </c>
      <c r="X53" s="32" t="s">
        <v>280</v>
      </c>
    </row>
    <row r="54" spans="1:24" x14ac:dyDescent="0.25">
      <c r="A54" s="32">
        <v>53</v>
      </c>
      <c r="B54" s="32" t="s">
        <v>281</v>
      </c>
      <c r="C54" s="32" t="s">
        <v>5</v>
      </c>
      <c r="D54" s="32" t="s">
        <v>90</v>
      </c>
      <c r="E54" s="32" t="s">
        <v>30</v>
      </c>
      <c r="F54" s="32">
        <v>1</v>
      </c>
      <c r="G54" s="33">
        <v>250</v>
      </c>
      <c r="H54" s="33">
        <v>750</v>
      </c>
      <c r="I54" s="34">
        <v>0.33299999999999991</v>
      </c>
      <c r="J54" s="35">
        <v>46117</v>
      </c>
      <c r="K54" s="36">
        <v>46113</v>
      </c>
      <c r="L54" s="32" t="s">
        <v>80</v>
      </c>
      <c r="M54" s="32" t="s">
        <v>144</v>
      </c>
      <c r="N54" s="32" t="s">
        <v>282</v>
      </c>
      <c r="O54" s="32" t="s">
        <v>93</v>
      </c>
      <c r="P54" s="32" t="s">
        <v>94</v>
      </c>
      <c r="Q54" s="32" t="s">
        <v>95</v>
      </c>
      <c r="R54" s="32">
        <v>0</v>
      </c>
      <c r="S54" s="32">
        <v>1</v>
      </c>
      <c r="T54" s="32">
        <v>1</v>
      </c>
      <c r="U54" s="32">
        <v>0</v>
      </c>
      <c r="V54" s="32" t="s">
        <v>96</v>
      </c>
      <c r="W54" s="32" t="s">
        <v>283</v>
      </c>
      <c r="X54" s="32" t="s">
        <v>284</v>
      </c>
    </row>
    <row r="55" spans="1:24" x14ac:dyDescent="0.25">
      <c r="A55" s="32">
        <v>54</v>
      </c>
      <c r="B55" s="32" t="s">
        <v>285</v>
      </c>
      <c r="C55" s="32" t="s">
        <v>33</v>
      </c>
      <c r="D55" s="32" t="s">
        <v>90</v>
      </c>
      <c r="E55" s="32" t="s">
        <v>30</v>
      </c>
      <c r="F55" s="32">
        <v>1</v>
      </c>
      <c r="G55" s="33">
        <v>200</v>
      </c>
      <c r="H55" s="33">
        <v>1000</v>
      </c>
      <c r="I55" s="34">
        <v>0.2</v>
      </c>
      <c r="J55" s="35">
        <v>46275</v>
      </c>
      <c r="K55" s="36">
        <v>46266</v>
      </c>
      <c r="L55" s="32" t="s">
        <v>80</v>
      </c>
      <c r="M55" s="32" t="s">
        <v>151</v>
      </c>
      <c r="N55" s="32" t="s">
        <v>286</v>
      </c>
      <c r="O55" s="32" t="s">
        <v>125</v>
      </c>
      <c r="P55" s="32" t="s">
        <v>119</v>
      </c>
      <c r="Q55" s="32" t="s">
        <v>95</v>
      </c>
      <c r="R55" s="32">
        <v>0</v>
      </c>
      <c r="S55" s="32">
        <v>1</v>
      </c>
      <c r="T55" s="32">
        <v>1</v>
      </c>
      <c r="U55" s="32">
        <v>0</v>
      </c>
      <c r="V55" s="32" t="s">
        <v>96</v>
      </c>
      <c r="W55" s="32" t="s">
        <v>287</v>
      </c>
      <c r="X55" s="32" t="s">
        <v>288</v>
      </c>
    </row>
    <row r="56" spans="1:24" x14ac:dyDescent="0.25">
      <c r="A56" s="32">
        <v>55</v>
      </c>
      <c r="B56" s="32" t="s">
        <v>289</v>
      </c>
      <c r="C56" s="32" t="s">
        <v>2</v>
      </c>
      <c r="D56" s="32" t="s">
        <v>79</v>
      </c>
      <c r="E56" s="32" t="s">
        <v>36</v>
      </c>
      <c r="F56" s="32">
        <v>0</v>
      </c>
      <c r="G56" s="33">
        <v>13000</v>
      </c>
      <c r="H56" s="33">
        <v>418000</v>
      </c>
      <c r="I56" s="34">
        <v>3.1E-2</v>
      </c>
      <c r="J56" s="35"/>
      <c r="K56" s="36"/>
      <c r="L56" s="32" t="s">
        <v>290</v>
      </c>
      <c r="M56" s="32" t="s">
        <v>291</v>
      </c>
      <c r="N56" s="32" t="s">
        <v>292</v>
      </c>
      <c r="O56" s="32" t="s">
        <v>113</v>
      </c>
      <c r="P56" s="32" t="s">
        <v>101</v>
      </c>
      <c r="Q56" s="32" t="s">
        <v>114</v>
      </c>
      <c r="R56" s="32">
        <v>0</v>
      </c>
      <c r="S56" s="32">
        <v>1</v>
      </c>
      <c r="T56" s="32">
        <v>1</v>
      </c>
      <c r="U56" s="32">
        <v>0</v>
      </c>
      <c r="V56" s="32" t="s">
        <v>96</v>
      </c>
      <c r="W56" s="32" t="s">
        <v>293</v>
      </c>
      <c r="X56" s="32" t="s">
        <v>294</v>
      </c>
    </row>
    <row r="57" spans="1:24" x14ac:dyDescent="0.25">
      <c r="A57" s="32">
        <v>56</v>
      </c>
      <c r="B57" s="32" t="s">
        <v>295</v>
      </c>
      <c r="C57" s="32" t="s">
        <v>20</v>
      </c>
      <c r="D57" s="32" t="s">
        <v>79</v>
      </c>
      <c r="E57" s="32" t="s">
        <v>32</v>
      </c>
      <c r="F57" s="32">
        <v>0</v>
      </c>
      <c r="G57" s="33">
        <v>122</v>
      </c>
      <c r="H57" s="33">
        <v>122</v>
      </c>
      <c r="I57" s="34">
        <v>1</v>
      </c>
      <c r="J57" s="35">
        <v>46274</v>
      </c>
      <c r="K57" s="36">
        <v>46266</v>
      </c>
      <c r="L57" s="32" t="s">
        <v>80</v>
      </c>
      <c r="M57" s="32" t="s">
        <v>151</v>
      </c>
      <c r="N57" s="32" t="s">
        <v>296</v>
      </c>
      <c r="O57" s="32" t="s">
        <v>93</v>
      </c>
      <c r="P57" s="32" t="s">
        <v>297</v>
      </c>
      <c r="Q57" s="32" t="s">
        <v>95</v>
      </c>
      <c r="R57" s="32">
        <v>1</v>
      </c>
      <c r="S57" s="32">
        <v>1</v>
      </c>
      <c r="T57" s="32">
        <v>1</v>
      </c>
      <c r="U57" s="32">
        <v>0</v>
      </c>
      <c r="V57" s="32" t="s">
        <v>96</v>
      </c>
      <c r="W57" s="32" t="s">
        <v>298</v>
      </c>
      <c r="X57" s="32" t="s">
        <v>299</v>
      </c>
    </row>
    <row r="58" spans="1:24" x14ac:dyDescent="0.25">
      <c r="A58" s="32">
        <v>57</v>
      </c>
      <c r="B58" s="32" t="s">
        <v>300</v>
      </c>
      <c r="C58" s="32" t="s">
        <v>4</v>
      </c>
      <c r="D58" s="32" t="s">
        <v>79</v>
      </c>
      <c r="E58" s="32" t="s">
        <v>37</v>
      </c>
      <c r="F58" s="32">
        <v>0</v>
      </c>
      <c r="G58" s="33">
        <v>484</v>
      </c>
      <c r="H58" s="33">
        <v>1217</v>
      </c>
      <c r="I58" s="34">
        <v>0.39799999999999991</v>
      </c>
      <c r="J58" s="35">
        <v>46084</v>
      </c>
      <c r="K58" s="36">
        <v>46082</v>
      </c>
      <c r="L58" s="32" t="s">
        <v>80</v>
      </c>
      <c r="M58" s="32" t="s">
        <v>106</v>
      </c>
      <c r="N58" s="32" t="s">
        <v>301</v>
      </c>
      <c r="O58" s="32" t="s">
        <v>125</v>
      </c>
      <c r="P58" s="32" t="s">
        <v>94</v>
      </c>
      <c r="Q58" s="32" t="s">
        <v>95</v>
      </c>
      <c r="R58" s="32">
        <v>0</v>
      </c>
      <c r="S58" s="32">
        <v>1</v>
      </c>
      <c r="T58" s="32">
        <v>1</v>
      </c>
      <c r="U58" s="32">
        <v>0</v>
      </c>
      <c r="V58" s="32" t="s">
        <v>96</v>
      </c>
      <c r="W58" s="32" t="s">
        <v>302</v>
      </c>
      <c r="X58" s="32" t="s">
        <v>303</v>
      </c>
    </row>
    <row r="59" spans="1:24" x14ac:dyDescent="0.25">
      <c r="A59" s="32">
        <v>58</v>
      </c>
      <c r="B59" s="32" t="s">
        <v>304</v>
      </c>
      <c r="C59" s="32" t="s">
        <v>17</v>
      </c>
      <c r="D59" s="32" t="s">
        <v>79</v>
      </c>
      <c r="E59" s="32" t="s">
        <v>36</v>
      </c>
      <c r="F59" s="32">
        <v>0</v>
      </c>
      <c r="G59" s="33">
        <v>247</v>
      </c>
      <c r="H59" s="33">
        <v>34000</v>
      </c>
      <c r="I59" s="34">
        <v>6.9999999999999004E-3</v>
      </c>
      <c r="J59" s="35">
        <v>46054</v>
      </c>
      <c r="K59" s="36">
        <v>46054</v>
      </c>
      <c r="L59" s="32" t="s">
        <v>25</v>
      </c>
      <c r="M59" s="32" t="s">
        <v>187</v>
      </c>
      <c r="N59" s="32" t="s">
        <v>187</v>
      </c>
      <c r="O59" s="32" t="s">
        <v>83</v>
      </c>
      <c r="P59" s="32" t="s">
        <v>101</v>
      </c>
      <c r="Q59" s="32" t="s">
        <v>95</v>
      </c>
      <c r="R59" s="32">
        <v>0</v>
      </c>
      <c r="S59" s="32">
        <v>1</v>
      </c>
      <c r="T59" s="32">
        <v>3</v>
      </c>
      <c r="U59" s="32">
        <v>1</v>
      </c>
      <c r="V59" s="32" t="s">
        <v>96</v>
      </c>
      <c r="W59" s="32" t="s">
        <v>305</v>
      </c>
      <c r="X59" s="32" t="s">
        <v>306</v>
      </c>
    </row>
    <row r="60" spans="1:24" x14ac:dyDescent="0.25">
      <c r="A60" s="32">
        <v>59</v>
      </c>
      <c r="B60" s="32" t="s">
        <v>304</v>
      </c>
      <c r="C60" s="32" t="s">
        <v>17</v>
      </c>
      <c r="D60" s="32" t="s">
        <v>79</v>
      </c>
      <c r="E60" s="32" t="s">
        <v>36</v>
      </c>
      <c r="F60" s="32">
        <v>0</v>
      </c>
      <c r="G60" s="33">
        <v>206</v>
      </c>
      <c r="H60" s="33">
        <v>34000</v>
      </c>
      <c r="I60" s="34">
        <v>6.0000000000000001E-3</v>
      </c>
      <c r="J60" s="35">
        <v>46134</v>
      </c>
      <c r="K60" s="36">
        <v>46113</v>
      </c>
      <c r="L60" s="32" t="s">
        <v>80</v>
      </c>
      <c r="M60" s="32" t="s">
        <v>144</v>
      </c>
      <c r="N60" s="32" t="s">
        <v>307</v>
      </c>
      <c r="O60" s="32" t="s">
        <v>83</v>
      </c>
      <c r="P60" s="32" t="s">
        <v>101</v>
      </c>
      <c r="Q60" s="32" t="s">
        <v>95</v>
      </c>
      <c r="R60" s="32">
        <v>0</v>
      </c>
      <c r="S60" s="32">
        <v>2</v>
      </c>
      <c r="T60" s="32">
        <v>3</v>
      </c>
      <c r="U60" s="32">
        <v>1</v>
      </c>
      <c r="V60" s="32" t="s">
        <v>96</v>
      </c>
      <c r="W60" s="32" t="s">
        <v>308</v>
      </c>
      <c r="X60" s="32" t="s">
        <v>309</v>
      </c>
    </row>
    <row r="61" spans="1:24" x14ac:dyDescent="0.25">
      <c r="A61" s="32">
        <v>60</v>
      </c>
      <c r="B61" s="32" t="s">
        <v>304</v>
      </c>
      <c r="C61" s="32" t="s">
        <v>17</v>
      </c>
      <c r="D61" s="32" t="s">
        <v>79</v>
      </c>
      <c r="E61" s="32" t="s">
        <v>36</v>
      </c>
      <c r="F61" s="32">
        <v>0</v>
      </c>
      <c r="G61" s="33">
        <v>265</v>
      </c>
      <c r="H61" s="33">
        <v>34000</v>
      </c>
      <c r="I61" s="34">
        <v>8.0000000000000002E-3</v>
      </c>
      <c r="J61" s="35">
        <v>46287</v>
      </c>
      <c r="K61" s="36">
        <v>46266</v>
      </c>
      <c r="L61" s="32" t="s">
        <v>80</v>
      </c>
      <c r="M61" s="32" t="s">
        <v>151</v>
      </c>
      <c r="N61" s="32" t="s">
        <v>310</v>
      </c>
      <c r="O61" s="32" t="s">
        <v>83</v>
      </c>
      <c r="P61" s="32" t="s">
        <v>101</v>
      </c>
      <c r="Q61" s="32" t="s">
        <v>95</v>
      </c>
      <c r="R61" s="32">
        <v>0</v>
      </c>
      <c r="S61" s="32">
        <v>3</v>
      </c>
      <c r="T61" s="32">
        <v>3</v>
      </c>
      <c r="U61" s="32">
        <v>1</v>
      </c>
      <c r="V61" s="32" t="s">
        <v>86</v>
      </c>
      <c r="W61" s="32" t="s">
        <v>311</v>
      </c>
      <c r="X61" s="32" t="s">
        <v>312</v>
      </c>
    </row>
    <row r="62" spans="1:24" x14ac:dyDescent="0.25">
      <c r="A62" s="32">
        <v>61</v>
      </c>
      <c r="B62" s="32" t="s">
        <v>313</v>
      </c>
      <c r="C62" s="32" t="s">
        <v>4</v>
      </c>
      <c r="D62" s="32" t="s">
        <v>79</v>
      </c>
      <c r="E62" s="32" t="s">
        <v>36</v>
      </c>
      <c r="F62" s="32">
        <v>0</v>
      </c>
      <c r="G62" s="33">
        <v>9000</v>
      </c>
      <c r="H62" s="33">
        <v>45000</v>
      </c>
      <c r="I62" s="34">
        <v>0.2</v>
      </c>
      <c r="J62" s="35">
        <v>46202</v>
      </c>
      <c r="K62" s="36">
        <v>46174</v>
      </c>
      <c r="L62" s="32" t="s">
        <v>80</v>
      </c>
      <c r="M62" s="32" t="s">
        <v>194</v>
      </c>
      <c r="N62" s="32" t="s">
        <v>314</v>
      </c>
      <c r="O62" s="32" t="s">
        <v>83</v>
      </c>
      <c r="P62" s="32" t="s">
        <v>119</v>
      </c>
      <c r="Q62" s="32" t="s">
        <v>114</v>
      </c>
      <c r="R62" s="32">
        <v>0</v>
      </c>
      <c r="S62" s="32">
        <v>1</v>
      </c>
      <c r="T62" s="32">
        <v>1</v>
      </c>
      <c r="U62" s="32">
        <v>0</v>
      </c>
      <c r="V62" s="32" t="s">
        <v>96</v>
      </c>
      <c r="W62" s="32" t="s">
        <v>315</v>
      </c>
      <c r="X62" s="32" t="s">
        <v>316</v>
      </c>
    </row>
    <row r="63" spans="1:24" x14ac:dyDescent="0.25">
      <c r="A63" s="32">
        <v>62</v>
      </c>
      <c r="B63" s="32" t="s">
        <v>317</v>
      </c>
      <c r="C63" s="32" t="s">
        <v>33</v>
      </c>
      <c r="D63" s="32" t="s">
        <v>90</v>
      </c>
      <c r="E63" s="32" t="s">
        <v>34</v>
      </c>
      <c r="F63" s="32">
        <v>0</v>
      </c>
      <c r="G63" s="33">
        <v>170</v>
      </c>
      <c r="H63" s="33">
        <v>250</v>
      </c>
      <c r="I63" s="34">
        <v>0.68</v>
      </c>
      <c r="J63" s="35">
        <v>46148</v>
      </c>
      <c r="K63" s="36">
        <v>46143</v>
      </c>
      <c r="L63" s="32" t="s">
        <v>80</v>
      </c>
      <c r="M63" s="32" t="s">
        <v>91</v>
      </c>
      <c r="N63" s="32" t="s">
        <v>183</v>
      </c>
      <c r="O63" s="32" t="s">
        <v>93</v>
      </c>
      <c r="P63" s="32" t="s">
        <v>94</v>
      </c>
      <c r="Q63" s="32" t="s">
        <v>95</v>
      </c>
      <c r="R63" s="32">
        <v>0</v>
      </c>
      <c r="S63" s="32">
        <v>1</v>
      </c>
      <c r="T63" s="32">
        <v>1</v>
      </c>
      <c r="U63" s="32">
        <v>0</v>
      </c>
      <c r="V63" s="32" t="s">
        <v>96</v>
      </c>
      <c r="W63" s="32" t="s">
        <v>318</v>
      </c>
      <c r="X63" s="32" t="s">
        <v>319</v>
      </c>
    </row>
    <row r="64" spans="1:24" x14ac:dyDescent="0.25">
      <c r="A64" s="32">
        <v>63</v>
      </c>
      <c r="B64" s="32" t="s">
        <v>320</v>
      </c>
      <c r="C64" s="32" t="s">
        <v>4</v>
      </c>
      <c r="D64" s="32" t="s">
        <v>79</v>
      </c>
      <c r="E64" s="32" t="s">
        <v>32</v>
      </c>
      <c r="F64" s="32">
        <v>0</v>
      </c>
      <c r="G64" s="33">
        <v>197</v>
      </c>
      <c r="H64" s="33">
        <v>1614</v>
      </c>
      <c r="I64" s="34">
        <v>0.122</v>
      </c>
      <c r="J64" s="35">
        <v>46245</v>
      </c>
      <c r="K64" s="36">
        <v>46235</v>
      </c>
      <c r="L64" s="32" t="s">
        <v>80</v>
      </c>
      <c r="M64" s="32" t="s">
        <v>81</v>
      </c>
      <c r="N64" s="32" t="s">
        <v>321</v>
      </c>
      <c r="O64" s="32" t="s">
        <v>125</v>
      </c>
      <c r="P64" s="32" t="s">
        <v>119</v>
      </c>
      <c r="Q64" s="32" t="s">
        <v>95</v>
      </c>
      <c r="R64" s="32">
        <v>0</v>
      </c>
      <c r="S64" s="32">
        <v>1</v>
      </c>
      <c r="T64" s="32">
        <v>1</v>
      </c>
      <c r="U64" s="32">
        <v>0</v>
      </c>
      <c r="V64" s="32" t="s">
        <v>86</v>
      </c>
      <c r="W64" s="32" t="s">
        <v>87</v>
      </c>
      <c r="X64" s="32" t="s">
        <v>322</v>
      </c>
    </row>
    <row r="65" spans="1:24" x14ac:dyDescent="0.25">
      <c r="A65" s="32">
        <v>64</v>
      </c>
      <c r="B65" s="32" t="s">
        <v>323</v>
      </c>
      <c r="C65" s="32" t="s">
        <v>33</v>
      </c>
      <c r="D65" s="32" t="s">
        <v>90</v>
      </c>
      <c r="E65" s="32" t="s">
        <v>32</v>
      </c>
      <c r="F65" s="32">
        <v>0</v>
      </c>
      <c r="G65" s="33">
        <v>400</v>
      </c>
      <c r="H65" s="33">
        <v>800</v>
      </c>
      <c r="I65" s="34">
        <v>0.5</v>
      </c>
      <c r="J65" s="35">
        <v>46198</v>
      </c>
      <c r="K65" s="36">
        <v>46174</v>
      </c>
      <c r="L65" s="32" t="s">
        <v>80</v>
      </c>
      <c r="M65" s="32" t="s">
        <v>194</v>
      </c>
      <c r="N65" s="32" t="s">
        <v>263</v>
      </c>
      <c r="O65" s="32" t="s">
        <v>93</v>
      </c>
      <c r="P65" s="32" t="s">
        <v>94</v>
      </c>
      <c r="Q65" s="32" t="s">
        <v>95</v>
      </c>
      <c r="R65" s="32">
        <v>0</v>
      </c>
      <c r="S65" s="32">
        <v>1</v>
      </c>
      <c r="T65" s="32">
        <v>1</v>
      </c>
      <c r="U65" s="32">
        <v>0</v>
      </c>
      <c r="V65" s="32" t="s">
        <v>96</v>
      </c>
      <c r="W65" s="32" t="s">
        <v>324</v>
      </c>
      <c r="X65" s="32" t="s">
        <v>325</v>
      </c>
    </row>
    <row r="66" spans="1:24" x14ac:dyDescent="0.25">
      <c r="A66" s="32">
        <v>65</v>
      </c>
      <c r="B66" s="32" t="s">
        <v>326</v>
      </c>
      <c r="C66" s="32" t="s">
        <v>29</v>
      </c>
      <c r="D66" s="32" t="s">
        <v>79</v>
      </c>
      <c r="E66" s="32" t="s">
        <v>37</v>
      </c>
      <c r="F66" s="32">
        <v>0</v>
      </c>
      <c r="G66" s="33">
        <v>180</v>
      </c>
      <c r="H66" s="33">
        <v>510</v>
      </c>
      <c r="I66" s="34">
        <v>0.35299999999999998</v>
      </c>
      <c r="J66" s="35">
        <v>46230</v>
      </c>
      <c r="K66" s="36">
        <v>46204</v>
      </c>
      <c r="L66" s="32" t="s">
        <v>80</v>
      </c>
      <c r="M66" s="32" t="s">
        <v>123</v>
      </c>
      <c r="N66" s="32" t="s">
        <v>327</v>
      </c>
      <c r="O66" s="32" t="s">
        <v>93</v>
      </c>
      <c r="P66" s="32" t="s">
        <v>94</v>
      </c>
      <c r="Q66" s="32" t="s">
        <v>95</v>
      </c>
      <c r="R66" s="32">
        <v>0</v>
      </c>
      <c r="S66" s="32">
        <v>1</v>
      </c>
      <c r="T66" s="32">
        <v>1</v>
      </c>
      <c r="U66" s="32">
        <v>0</v>
      </c>
      <c r="V66" s="32" t="s">
        <v>96</v>
      </c>
      <c r="W66" s="32" t="s">
        <v>219</v>
      </c>
      <c r="X66" s="32" t="s">
        <v>328</v>
      </c>
    </row>
    <row r="67" spans="1:24" x14ac:dyDescent="0.25">
      <c r="A67" s="32">
        <v>66</v>
      </c>
      <c r="B67" s="32" t="s">
        <v>329</v>
      </c>
      <c r="C67" s="32" t="s">
        <v>29</v>
      </c>
      <c r="D67" s="32" t="s">
        <v>79</v>
      </c>
      <c r="E67" s="32" t="s">
        <v>32</v>
      </c>
      <c r="F67" s="32">
        <v>0</v>
      </c>
      <c r="G67" s="33">
        <v>66</v>
      </c>
      <c r="H67" s="33">
        <v>1100</v>
      </c>
      <c r="I67" s="34">
        <v>0.06</v>
      </c>
      <c r="J67" s="35">
        <v>46101</v>
      </c>
      <c r="K67" s="36">
        <v>46082</v>
      </c>
      <c r="L67" s="32" t="s">
        <v>80</v>
      </c>
      <c r="M67" s="32" t="s">
        <v>106</v>
      </c>
      <c r="N67" s="32" t="s">
        <v>330</v>
      </c>
      <c r="O67" s="32" t="s">
        <v>125</v>
      </c>
      <c r="P67" s="32" t="s">
        <v>84</v>
      </c>
      <c r="Q67" s="32" t="s">
        <v>137</v>
      </c>
      <c r="R67" s="32">
        <v>0</v>
      </c>
      <c r="S67" s="32">
        <v>1</v>
      </c>
      <c r="T67" s="32">
        <v>1</v>
      </c>
      <c r="U67" s="32">
        <v>0</v>
      </c>
      <c r="V67" s="32" t="s">
        <v>96</v>
      </c>
      <c r="W67" s="32" t="s">
        <v>331</v>
      </c>
      <c r="X67" s="32" t="s">
        <v>332</v>
      </c>
    </row>
    <row r="68" spans="1:24" x14ac:dyDescent="0.25">
      <c r="A68" s="32">
        <v>67</v>
      </c>
      <c r="B68" s="32" t="s">
        <v>333</v>
      </c>
      <c r="C68" s="32" t="s">
        <v>2</v>
      </c>
      <c r="D68" s="32" t="s">
        <v>79</v>
      </c>
      <c r="E68" s="32" t="s">
        <v>32</v>
      </c>
      <c r="F68" s="32">
        <v>0</v>
      </c>
      <c r="G68" s="33">
        <v>57</v>
      </c>
      <c r="H68" s="33">
        <v>1376</v>
      </c>
      <c r="I68" s="34">
        <v>4.0999999999999898E-2</v>
      </c>
      <c r="J68" s="35">
        <v>46251</v>
      </c>
      <c r="K68" s="36">
        <v>46235</v>
      </c>
      <c r="L68" s="32" t="s">
        <v>80</v>
      </c>
      <c r="M68" s="32" t="s">
        <v>81</v>
      </c>
      <c r="N68" s="32" t="s">
        <v>334</v>
      </c>
      <c r="O68" s="32" t="s">
        <v>125</v>
      </c>
      <c r="P68" s="32" t="s">
        <v>101</v>
      </c>
      <c r="Q68" s="32" t="s">
        <v>137</v>
      </c>
      <c r="R68" s="32">
        <v>0</v>
      </c>
      <c r="S68" s="32">
        <v>1</v>
      </c>
      <c r="T68" s="32">
        <v>2</v>
      </c>
      <c r="U68" s="32">
        <v>1</v>
      </c>
      <c r="V68" s="32" t="s">
        <v>96</v>
      </c>
      <c r="W68" s="32" t="s">
        <v>335</v>
      </c>
      <c r="X68" s="32" t="s">
        <v>336</v>
      </c>
    </row>
    <row r="69" spans="1:24" x14ac:dyDescent="0.25">
      <c r="A69" s="32">
        <v>68</v>
      </c>
      <c r="B69" s="32" t="s">
        <v>333</v>
      </c>
      <c r="C69" s="32" t="s">
        <v>2</v>
      </c>
      <c r="D69" s="32" t="s">
        <v>79</v>
      </c>
      <c r="E69" s="32" t="s">
        <v>32</v>
      </c>
      <c r="F69" s="32">
        <v>0</v>
      </c>
      <c r="G69" s="33">
        <v>56</v>
      </c>
      <c r="H69" s="33">
        <v>1376</v>
      </c>
      <c r="I69" s="34">
        <v>4.0999999999999898E-2</v>
      </c>
      <c r="J69" s="35">
        <v>46267</v>
      </c>
      <c r="K69" s="36">
        <v>46266</v>
      </c>
      <c r="L69" s="32" t="s">
        <v>80</v>
      </c>
      <c r="M69" s="32" t="s">
        <v>151</v>
      </c>
      <c r="N69" s="32" t="s">
        <v>337</v>
      </c>
      <c r="O69" s="32" t="s">
        <v>125</v>
      </c>
      <c r="P69" s="32" t="s">
        <v>101</v>
      </c>
      <c r="Q69" s="32" t="s">
        <v>137</v>
      </c>
      <c r="R69" s="32">
        <v>0</v>
      </c>
      <c r="S69" s="32">
        <v>2</v>
      </c>
      <c r="T69" s="32">
        <v>2</v>
      </c>
      <c r="U69" s="32">
        <v>1</v>
      </c>
      <c r="V69" s="32" t="s">
        <v>96</v>
      </c>
      <c r="W69" s="32" t="s">
        <v>338</v>
      </c>
      <c r="X69" s="32" t="s">
        <v>339</v>
      </c>
    </row>
    <row r="70" spans="1:24" x14ac:dyDescent="0.25">
      <c r="A70" s="32">
        <v>69</v>
      </c>
      <c r="B70" s="32" t="s">
        <v>340</v>
      </c>
      <c r="C70" s="32" t="s">
        <v>29</v>
      </c>
      <c r="D70" s="32" t="s">
        <v>79</v>
      </c>
      <c r="E70" s="32" t="s">
        <v>32</v>
      </c>
      <c r="F70" s="32">
        <v>0</v>
      </c>
      <c r="G70" s="33">
        <v>50</v>
      </c>
      <c r="H70" s="33">
        <v>3000</v>
      </c>
      <c r="I70" s="34">
        <v>1.7000000000000001E-2</v>
      </c>
      <c r="J70" s="35">
        <v>46106</v>
      </c>
      <c r="K70" s="36">
        <v>46082</v>
      </c>
      <c r="L70" s="32" t="s">
        <v>80</v>
      </c>
      <c r="M70" s="32" t="s">
        <v>106</v>
      </c>
      <c r="N70" s="32" t="s">
        <v>341</v>
      </c>
      <c r="O70" s="32" t="s">
        <v>125</v>
      </c>
      <c r="P70" s="32" t="s">
        <v>101</v>
      </c>
      <c r="Q70" s="32" t="s">
        <v>137</v>
      </c>
      <c r="R70" s="32">
        <v>0</v>
      </c>
      <c r="S70" s="32">
        <v>1</v>
      </c>
      <c r="T70" s="32">
        <v>1</v>
      </c>
      <c r="U70" s="32">
        <v>0</v>
      </c>
      <c r="V70" s="32" t="s">
        <v>96</v>
      </c>
      <c r="W70" s="32" t="s">
        <v>342</v>
      </c>
      <c r="X70" s="32" t="s">
        <v>343</v>
      </c>
    </row>
    <row r="71" spans="1:24" x14ac:dyDescent="0.25">
      <c r="A71" s="32">
        <v>70</v>
      </c>
      <c r="B71" s="32" t="s">
        <v>344</v>
      </c>
      <c r="C71" s="32" t="s">
        <v>35</v>
      </c>
      <c r="D71" s="32" t="s">
        <v>90</v>
      </c>
      <c r="E71" s="32" t="s">
        <v>32</v>
      </c>
      <c r="F71" s="32">
        <v>0</v>
      </c>
      <c r="G71" s="33">
        <v>260</v>
      </c>
      <c r="H71" s="33">
        <v>486</v>
      </c>
      <c r="I71" s="34">
        <v>0.53500000000000003</v>
      </c>
      <c r="J71" s="35">
        <v>46276</v>
      </c>
      <c r="K71" s="36">
        <v>46266</v>
      </c>
      <c r="L71" s="32" t="s">
        <v>80</v>
      </c>
      <c r="M71" s="32" t="s">
        <v>151</v>
      </c>
      <c r="N71" s="32" t="s">
        <v>267</v>
      </c>
      <c r="O71" s="32" t="s">
        <v>93</v>
      </c>
      <c r="P71" s="32" t="s">
        <v>94</v>
      </c>
      <c r="Q71" s="32" t="s">
        <v>95</v>
      </c>
      <c r="R71" s="32">
        <v>0</v>
      </c>
      <c r="S71" s="32">
        <v>1</v>
      </c>
      <c r="T71" s="32">
        <v>1</v>
      </c>
      <c r="U71" s="32">
        <v>0</v>
      </c>
      <c r="V71" s="32" t="s">
        <v>211</v>
      </c>
      <c r="W71" s="32" t="s">
        <v>212</v>
      </c>
      <c r="X71" s="32" t="s">
        <v>345</v>
      </c>
    </row>
    <row r="72" spans="1:24" x14ac:dyDescent="0.25">
      <c r="A72" s="32">
        <v>71</v>
      </c>
      <c r="B72" s="32" t="s">
        <v>346</v>
      </c>
      <c r="C72" s="32" t="s">
        <v>20</v>
      </c>
      <c r="D72" s="32" t="s">
        <v>79</v>
      </c>
      <c r="E72" s="32" t="s">
        <v>32</v>
      </c>
      <c r="F72" s="32">
        <v>0</v>
      </c>
      <c r="G72" s="33">
        <v>205</v>
      </c>
      <c r="H72" s="33">
        <v>568</v>
      </c>
      <c r="I72" s="34">
        <v>0.36099999999999999</v>
      </c>
      <c r="J72" s="35">
        <v>46143</v>
      </c>
      <c r="K72" s="36">
        <v>46143</v>
      </c>
      <c r="L72" s="32" t="s">
        <v>80</v>
      </c>
      <c r="M72" s="32" t="s">
        <v>91</v>
      </c>
      <c r="N72" s="32" t="s">
        <v>347</v>
      </c>
      <c r="O72" s="32" t="s">
        <v>93</v>
      </c>
      <c r="P72" s="32" t="s">
        <v>94</v>
      </c>
      <c r="Q72" s="32" t="s">
        <v>95</v>
      </c>
      <c r="R72" s="32">
        <v>0</v>
      </c>
      <c r="S72" s="32">
        <v>1</v>
      </c>
      <c r="T72" s="32">
        <v>2</v>
      </c>
      <c r="U72" s="32">
        <v>1</v>
      </c>
      <c r="V72" s="32" t="s">
        <v>96</v>
      </c>
      <c r="W72" s="32" t="s">
        <v>348</v>
      </c>
      <c r="X72" s="32" t="s">
        <v>349</v>
      </c>
    </row>
    <row r="73" spans="1:24" x14ac:dyDescent="0.25">
      <c r="A73" s="32">
        <v>72</v>
      </c>
      <c r="B73" s="32" t="s">
        <v>346</v>
      </c>
      <c r="C73" s="32" t="s">
        <v>20</v>
      </c>
      <c r="D73" s="32" t="s">
        <v>79</v>
      </c>
      <c r="E73" s="32" t="s">
        <v>36</v>
      </c>
      <c r="F73" s="32">
        <v>0</v>
      </c>
      <c r="G73" s="33">
        <v>515</v>
      </c>
      <c r="H73" s="33">
        <v>13700</v>
      </c>
      <c r="I73" s="34">
        <v>3.7999999999999999E-2</v>
      </c>
      <c r="J73" s="35">
        <v>46268</v>
      </c>
      <c r="K73" s="36">
        <v>46266</v>
      </c>
      <c r="L73" s="32" t="s">
        <v>80</v>
      </c>
      <c r="M73" s="32" t="s">
        <v>151</v>
      </c>
      <c r="N73" s="32" t="s">
        <v>350</v>
      </c>
      <c r="O73" s="32" t="s">
        <v>83</v>
      </c>
      <c r="P73" s="32" t="s">
        <v>101</v>
      </c>
      <c r="Q73" s="32" t="s">
        <v>85</v>
      </c>
      <c r="R73" s="32">
        <v>0</v>
      </c>
      <c r="S73" s="32">
        <v>2</v>
      </c>
      <c r="T73" s="32">
        <v>2</v>
      </c>
      <c r="U73" s="32">
        <v>1</v>
      </c>
      <c r="V73" s="32" t="s">
        <v>96</v>
      </c>
      <c r="W73" s="32" t="s">
        <v>351</v>
      </c>
      <c r="X73" s="32" t="s">
        <v>352</v>
      </c>
    </row>
    <row r="74" spans="1:24" x14ac:dyDescent="0.25">
      <c r="A74" s="32">
        <v>73</v>
      </c>
      <c r="B74" s="32" t="s">
        <v>353</v>
      </c>
      <c r="C74" s="32" t="s">
        <v>5</v>
      </c>
      <c r="D74" s="32" t="s">
        <v>90</v>
      </c>
      <c r="E74" s="32" t="s">
        <v>37</v>
      </c>
      <c r="F74" s="32">
        <v>0</v>
      </c>
      <c r="G74" s="33">
        <v>1100</v>
      </c>
      <c r="H74" s="33">
        <v>70000</v>
      </c>
      <c r="I74" s="34">
        <v>1.6E-2</v>
      </c>
      <c r="J74" s="35">
        <v>46084</v>
      </c>
      <c r="K74" s="36">
        <v>46082</v>
      </c>
      <c r="L74" s="32" t="s">
        <v>80</v>
      </c>
      <c r="M74" s="32" t="s">
        <v>106</v>
      </c>
      <c r="N74" s="32" t="s">
        <v>301</v>
      </c>
      <c r="O74" s="32" t="s">
        <v>160</v>
      </c>
      <c r="P74" s="32" t="s">
        <v>101</v>
      </c>
      <c r="Q74" s="32" t="s">
        <v>102</v>
      </c>
      <c r="R74" s="32">
        <v>0</v>
      </c>
      <c r="S74" s="32">
        <v>1</v>
      </c>
      <c r="T74" s="32">
        <v>1</v>
      </c>
      <c r="U74" s="32">
        <v>0</v>
      </c>
      <c r="V74" s="32" t="s">
        <v>96</v>
      </c>
      <c r="W74" s="32" t="s">
        <v>354</v>
      </c>
      <c r="X74" s="32" t="s">
        <v>355</v>
      </c>
    </row>
    <row r="75" spans="1:24" x14ac:dyDescent="0.25">
      <c r="A75" s="32">
        <v>74</v>
      </c>
      <c r="B75" s="32" t="s">
        <v>356</v>
      </c>
      <c r="C75" s="32" t="s">
        <v>2</v>
      </c>
      <c r="D75" s="32" t="s">
        <v>79</v>
      </c>
      <c r="E75" s="32" t="s">
        <v>32</v>
      </c>
      <c r="F75" s="32">
        <v>0</v>
      </c>
      <c r="G75" s="33">
        <v>325</v>
      </c>
      <c r="H75" s="33">
        <v>3000</v>
      </c>
      <c r="I75" s="34">
        <v>0.108</v>
      </c>
      <c r="J75" s="35">
        <v>46210</v>
      </c>
      <c r="K75" s="36">
        <v>46204</v>
      </c>
      <c r="L75" s="32" t="s">
        <v>80</v>
      </c>
      <c r="M75" s="32" t="s">
        <v>123</v>
      </c>
      <c r="N75" s="32" t="s">
        <v>357</v>
      </c>
      <c r="O75" s="32" t="s">
        <v>125</v>
      </c>
      <c r="P75" s="32" t="s">
        <v>119</v>
      </c>
      <c r="Q75" s="32" t="s">
        <v>95</v>
      </c>
      <c r="R75" s="32">
        <v>0</v>
      </c>
      <c r="S75" s="32">
        <v>1</v>
      </c>
      <c r="T75" s="32">
        <v>1</v>
      </c>
      <c r="U75" s="32">
        <v>0</v>
      </c>
      <c r="V75" s="32" t="s">
        <v>96</v>
      </c>
      <c r="W75" s="32" t="s">
        <v>358</v>
      </c>
      <c r="X75" s="32" t="s">
        <v>359</v>
      </c>
    </row>
    <row r="76" spans="1:24" x14ac:dyDescent="0.25">
      <c r="A76" s="32">
        <v>75</v>
      </c>
      <c r="B76" s="32" t="s">
        <v>360</v>
      </c>
      <c r="C76" s="32" t="s">
        <v>2</v>
      </c>
      <c r="D76" s="32" t="s">
        <v>79</v>
      </c>
      <c r="E76" s="32" t="s">
        <v>32</v>
      </c>
      <c r="F76" s="32">
        <v>0</v>
      </c>
      <c r="G76" s="33">
        <v>179</v>
      </c>
      <c r="H76" s="33">
        <v>1100</v>
      </c>
      <c r="I76" s="34">
        <v>0.16300000000000001</v>
      </c>
      <c r="J76" s="35">
        <v>46295</v>
      </c>
      <c r="K76" s="36">
        <v>46266</v>
      </c>
      <c r="L76" s="32" t="s">
        <v>80</v>
      </c>
      <c r="M76" s="32" t="s">
        <v>151</v>
      </c>
      <c r="N76" s="32" t="s">
        <v>361</v>
      </c>
      <c r="O76" s="32" t="s">
        <v>125</v>
      </c>
      <c r="P76" s="32" t="s">
        <v>119</v>
      </c>
      <c r="Q76" s="32" t="s">
        <v>95</v>
      </c>
      <c r="R76" s="32">
        <v>0</v>
      </c>
      <c r="S76" s="32">
        <v>1</v>
      </c>
      <c r="T76" s="32">
        <v>1</v>
      </c>
      <c r="U76" s="32">
        <v>0</v>
      </c>
      <c r="V76" s="32" t="s">
        <v>86</v>
      </c>
      <c r="W76" s="32" t="s">
        <v>362</v>
      </c>
      <c r="X76" s="32" t="s">
        <v>363</v>
      </c>
    </row>
    <row r="77" spans="1:24" x14ac:dyDescent="0.25">
      <c r="A77" s="32">
        <v>76</v>
      </c>
      <c r="B77" s="32" t="s">
        <v>364</v>
      </c>
      <c r="C77" s="32" t="s">
        <v>2</v>
      </c>
      <c r="D77" s="32" t="s">
        <v>79</v>
      </c>
      <c r="E77" s="32" t="s">
        <v>32</v>
      </c>
      <c r="F77" s="32">
        <v>0</v>
      </c>
      <c r="G77" s="33">
        <v>185</v>
      </c>
      <c r="H77" s="33">
        <v>1700</v>
      </c>
      <c r="I77" s="34">
        <v>0.109</v>
      </c>
      <c r="J77" s="35">
        <v>46121</v>
      </c>
      <c r="K77" s="36">
        <v>46113</v>
      </c>
      <c r="L77" s="32" t="s">
        <v>80</v>
      </c>
      <c r="M77" s="32" t="s">
        <v>144</v>
      </c>
      <c r="N77" s="32" t="s">
        <v>365</v>
      </c>
      <c r="O77" s="32" t="s">
        <v>125</v>
      </c>
      <c r="P77" s="32" t="s">
        <v>119</v>
      </c>
      <c r="Q77" s="32" t="s">
        <v>95</v>
      </c>
      <c r="R77" s="32">
        <v>0</v>
      </c>
      <c r="S77" s="32">
        <v>1</v>
      </c>
      <c r="T77" s="32">
        <v>1</v>
      </c>
      <c r="U77" s="32">
        <v>0</v>
      </c>
      <c r="V77" s="32" t="s">
        <v>211</v>
      </c>
      <c r="W77" s="32" t="s">
        <v>212</v>
      </c>
      <c r="X77" s="32" t="s">
        <v>366</v>
      </c>
    </row>
    <row r="78" spans="1:24" x14ac:dyDescent="0.25">
      <c r="A78" s="32">
        <v>77</v>
      </c>
      <c r="B78" s="32" t="s">
        <v>367</v>
      </c>
      <c r="C78" s="32" t="s">
        <v>15</v>
      </c>
      <c r="D78" s="32" t="s">
        <v>79</v>
      </c>
      <c r="E78" s="32" t="s">
        <v>32</v>
      </c>
      <c r="F78" s="32">
        <v>0</v>
      </c>
      <c r="G78" s="33">
        <v>332</v>
      </c>
      <c r="H78" s="33">
        <v>1661</v>
      </c>
      <c r="I78" s="34">
        <v>0.2</v>
      </c>
      <c r="J78" s="35">
        <v>46143</v>
      </c>
      <c r="K78" s="36">
        <v>46143</v>
      </c>
      <c r="L78" s="32" t="s">
        <v>80</v>
      </c>
      <c r="M78" s="32" t="s">
        <v>91</v>
      </c>
      <c r="N78" s="32" t="s">
        <v>347</v>
      </c>
      <c r="O78" s="32" t="s">
        <v>125</v>
      </c>
      <c r="P78" s="32" t="s">
        <v>119</v>
      </c>
      <c r="Q78" s="32" t="s">
        <v>95</v>
      </c>
      <c r="R78" s="32">
        <v>0</v>
      </c>
      <c r="S78" s="32">
        <v>1</v>
      </c>
      <c r="T78" s="32">
        <v>1</v>
      </c>
      <c r="U78" s="32">
        <v>0</v>
      </c>
      <c r="V78" s="32" t="s">
        <v>96</v>
      </c>
      <c r="W78" s="32" t="s">
        <v>368</v>
      </c>
      <c r="X78" s="32" t="s">
        <v>369</v>
      </c>
    </row>
    <row r="79" spans="1:24" x14ac:dyDescent="0.25">
      <c r="A79" s="32">
        <v>78</v>
      </c>
      <c r="B79" s="32" t="s">
        <v>370</v>
      </c>
      <c r="C79" s="32" t="s">
        <v>17</v>
      </c>
      <c r="D79" s="32" t="s">
        <v>79</v>
      </c>
      <c r="E79" s="32" t="s">
        <v>34</v>
      </c>
      <c r="F79" s="32">
        <v>0</v>
      </c>
      <c r="G79" s="33">
        <v>100</v>
      </c>
      <c r="H79" s="33">
        <v>318</v>
      </c>
      <c r="I79" s="34">
        <v>0.314</v>
      </c>
      <c r="J79" s="35">
        <v>46255</v>
      </c>
      <c r="K79" s="36">
        <v>46235</v>
      </c>
      <c r="L79" s="32" t="s">
        <v>80</v>
      </c>
      <c r="M79" s="32" t="s">
        <v>81</v>
      </c>
      <c r="N79" s="32" t="s">
        <v>174</v>
      </c>
      <c r="O79" s="32" t="s">
        <v>93</v>
      </c>
      <c r="P79" s="32" t="s">
        <v>94</v>
      </c>
      <c r="Q79" s="32" t="s">
        <v>95</v>
      </c>
      <c r="R79" s="32">
        <v>0</v>
      </c>
      <c r="S79" s="32">
        <v>1</v>
      </c>
      <c r="T79" s="32">
        <v>2</v>
      </c>
      <c r="U79" s="32">
        <v>1</v>
      </c>
      <c r="V79" s="32" t="s">
        <v>96</v>
      </c>
      <c r="W79" s="32" t="s">
        <v>371</v>
      </c>
      <c r="X79" s="32" t="s">
        <v>372</v>
      </c>
    </row>
    <row r="80" spans="1:24" x14ac:dyDescent="0.25">
      <c r="A80" s="32">
        <v>79</v>
      </c>
      <c r="B80" s="32" t="s">
        <v>370</v>
      </c>
      <c r="C80" s="32" t="s">
        <v>17</v>
      </c>
      <c r="D80" s="32" t="s">
        <v>79</v>
      </c>
      <c r="E80" s="32" t="s">
        <v>34</v>
      </c>
      <c r="F80" s="32">
        <v>0</v>
      </c>
      <c r="G80" s="33">
        <v>68</v>
      </c>
      <c r="H80" s="33">
        <v>318</v>
      </c>
      <c r="I80" s="34">
        <v>0.214</v>
      </c>
      <c r="J80" s="35">
        <v>46266</v>
      </c>
      <c r="K80" s="36">
        <v>46266</v>
      </c>
      <c r="L80" s="32" t="s">
        <v>80</v>
      </c>
      <c r="M80" s="32" t="s">
        <v>151</v>
      </c>
      <c r="N80" s="32" t="s">
        <v>373</v>
      </c>
      <c r="O80" s="32" t="s">
        <v>93</v>
      </c>
      <c r="P80" s="32" t="s">
        <v>119</v>
      </c>
      <c r="Q80" s="32" t="s">
        <v>137</v>
      </c>
      <c r="R80" s="32">
        <v>0</v>
      </c>
      <c r="S80" s="32">
        <v>2</v>
      </c>
      <c r="T80" s="32">
        <v>2</v>
      </c>
      <c r="U80" s="32">
        <v>1</v>
      </c>
      <c r="V80" s="32" t="s">
        <v>96</v>
      </c>
      <c r="W80" s="32" t="s">
        <v>191</v>
      </c>
      <c r="X80" s="32" t="s">
        <v>216</v>
      </c>
    </row>
    <row r="81" spans="1:24" x14ac:dyDescent="0.25">
      <c r="A81" s="32">
        <v>80</v>
      </c>
      <c r="B81" s="32" t="s">
        <v>374</v>
      </c>
      <c r="C81" s="32" t="s">
        <v>8</v>
      </c>
      <c r="D81" s="32" t="s">
        <v>79</v>
      </c>
      <c r="E81" s="32" t="s">
        <v>30</v>
      </c>
      <c r="F81" s="32">
        <v>1</v>
      </c>
      <c r="G81" s="33">
        <v>1300</v>
      </c>
      <c r="H81" s="33">
        <v>20000</v>
      </c>
      <c r="I81" s="34">
        <v>6.5000000000000002E-2</v>
      </c>
      <c r="J81" s="35">
        <v>46226</v>
      </c>
      <c r="K81" s="36">
        <v>46204</v>
      </c>
      <c r="L81" s="32" t="s">
        <v>80</v>
      </c>
      <c r="M81" s="32" t="s">
        <v>123</v>
      </c>
      <c r="N81" s="32" t="s">
        <v>375</v>
      </c>
      <c r="O81" s="32" t="s">
        <v>83</v>
      </c>
      <c r="P81" s="32" t="s">
        <v>84</v>
      </c>
      <c r="Q81" s="32" t="s">
        <v>102</v>
      </c>
      <c r="R81" s="32">
        <v>0</v>
      </c>
      <c r="S81" s="32">
        <v>1</v>
      </c>
      <c r="T81" s="32">
        <v>1</v>
      </c>
      <c r="U81" s="32">
        <v>0</v>
      </c>
      <c r="V81" s="32" t="s">
        <v>96</v>
      </c>
      <c r="W81" s="32" t="s">
        <v>376</v>
      </c>
      <c r="X81" s="32" t="s">
        <v>377</v>
      </c>
    </row>
    <row r="82" spans="1:24" x14ac:dyDescent="0.25">
      <c r="A82" s="32">
        <v>81</v>
      </c>
      <c r="B82" s="32" t="s">
        <v>378</v>
      </c>
      <c r="C82" s="32" t="s">
        <v>29</v>
      </c>
      <c r="D82" s="32" t="s">
        <v>79</v>
      </c>
      <c r="E82" s="32" t="s">
        <v>32</v>
      </c>
      <c r="F82" s="32">
        <v>0</v>
      </c>
      <c r="G82" s="33">
        <v>340</v>
      </c>
      <c r="H82" s="33">
        <v>1270</v>
      </c>
      <c r="I82" s="34">
        <v>0.26800000000000002</v>
      </c>
      <c r="J82" s="35">
        <v>46274</v>
      </c>
      <c r="K82" s="36">
        <v>46266</v>
      </c>
      <c r="L82" s="32" t="s">
        <v>80</v>
      </c>
      <c r="M82" s="32" t="s">
        <v>151</v>
      </c>
      <c r="N82" s="32" t="s">
        <v>296</v>
      </c>
      <c r="O82" s="32" t="s">
        <v>125</v>
      </c>
      <c r="P82" s="32" t="s">
        <v>94</v>
      </c>
      <c r="Q82" s="32" t="s">
        <v>95</v>
      </c>
      <c r="R82" s="32">
        <v>0</v>
      </c>
      <c r="S82" s="32">
        <v>1</v>
      </c>
      <c r="T82" s="32">
        <v>1</v>
      </c>
      <c r="U82" s="32">
        <v>0</v>
      </c>
      <c r="V82" s="32" t="s">
        <v>96</v>
      </c>
      <c r="W82" s="32" t="s">
        <v>264</v>
      </c>
      <c r="X82" s="32" t="s">
        <v>379</v>
      </c>
    </row>
    <row r="83" spans="1:24" x14ac:dyDescent="0.25">
      <c r="A83" s="32">
        <v>82</v>
      </c>
      <c r="B83" s="32" t="s">
        <v>380</v>
      </c>
      <c r="C83" s="32" t="s">
        <v>2</v>
      </c>
      <c r="D83" s="32" t="s">
        <v>79</v>
      </c>
      <c r="E83" s="32" t="s">
        <v>32</v>
      </c>
      <c r="F83" s="32">
        <v>0</v>
      </c>
      <c r="G83" s="33">
        <v>145</v>
      </c>
      <c r="H83" s="33">
        <v>1440</v>
      </c>
      <c r="I83" s="34">
        <v>0.1009999999999999</v>
      </c>
      <c r="J83" s="35">
        <v>46232</v>
      </c>
      <c r="K83" s="36">
        <v>46204</v>
      </c>
      <c r="L83" s="32" t="s">
        <v>80</v>
      </c>
      <c r="M83" s="32" t="s">
        <v>123</v>
      </c>
      <c r="N83" s="32" t="s">
        <v>231</v>
      </c>
      <c r="O83" s="32" t="s">
        <v>125</v>
      </c>
      <c r="P83" s="32" t="s">
        <v>119</v>
      </c>
      <c r="Q83" s="32" t="s">
        <v>95</v>
      </c>
      <c r="R83" s="32">
        <v>0</v>
      </c>
      <c r="S83" s="32">
        <v>1</v>
      </c>
      <c r="T83" s="32">
        <v>1</v>
      </c>
      <c r="U83" s="32">
        <v>0</v>
      </c>
      <c r="V83" s="32" t="s">
        <v>211</v>
      </c>
      <c r="W83" s="32" t="s">
        <v>212</v>
      </c>
      <c r="X83" s="32" t="s">
        <v>381</v>
      </c>
    </row>
    <row r="84" spans="1:24" x14ac:dyDescent="0.25">
      <c r="A84" s="32">
        <v>83</v>
      </c>
      <c r="B84" s="32" t="s">
        <v>382</v>
      </c>
      <c r="C84" s="32" t="s">
        <v>20</v>
      </c>
      <c r="D84" s="32" t="s">
        <v>79</v>
      </c>
      <c r="E84" s="32" t="s">
        <v>32</v>
      </c>
      <c r="F84" s="32">
        <v>0</v>
      </c>
      <c r="G84" s="33">
        <v>56</v>
      </c>
      <c r="H84" s="33">
        <v>2700</v>
      </c>
      <c r="I84" s="34">
        <v>2.1000000000000001E-2</v>
      </c>
      <c r="J84" s="35">
        <v>46295</v>
      </c>
      <c r="K84" s="36">
        <v>46266</v>
      </c>
      <c r="L84" s="32" t="s">
        <v>80</v>
      </c>
      <c r="M84" s="32" t="s">
        <v>151</v>
      </c>
      <c r="N84" s="32" t="s">
        <v>361</v>
      </c>
      <c r="O84" s="32" t="s">
        <v>125</v>
      </c>
      <c r="P84" s="32" t="s">
        <v>101</v>
      </c>
      <c r="Q84" s="32" t="s">
        <v>137</v>
      </c>
      <c r="R84" s="32">
        <v>0</v>
      </c>
      <c r="S84" s="32">
        <v>1</v>
      </c>
      <c r="T84" s="32">
        <v>1</v>
      </c>
      <c r="U84" s="32">
        <v>0</v>
      </c>
      <c r="V84" s="32" t="s">
        <v>86</v>
      </c>
      <c r="W84" s="32" t="s">
        <v>383</v>
      </c>
      <c r="X84" s="32" t="s">
        <v>384</v>
      </c>
    </row>
    <row r="85" spans="1:24" x14ac:dyDescent="0.25">
      <c r="A85" s="32">
        <v>84</v>
      </c>
      <c r="B85" s="32" t="s">
        <v>385</v>
      </c>
      <c r="C85" s="32" t="s">
        <v>8</v>
      </c>
      <c r="D85" s="32" t="s">
        <v>79</v>
      </c>
      <c r="E85" s="32" t="s">
        <v>36</v>
      </c>
      <c r="F85" s="32">
        <v>0</v>
      </c>
      <c r="G85" s="33">
        <v>180</v>
      </c>
      <c r="H85" s="33">
        <v>45000</v>
      </c>
      <c r="I85" s="34">
        <v>4.0000000000000001E-3</v>
      </c>
      <c r="J85" s="35">
        <v>46204</v>
      </c>
      <c r="K85" s="36">
        <v>46204</v>
      </c>
      <c r="L85" s="32" t="s">
        <v>80</v>
      </c>
      <c r="M85" s="32" t="s">
        <v>123</v>
      </c>
      <c r="N85" s="32" t="s">
        <v>386</v>
      </c>
      <c r="O85" s="32" t="s">
        <v>83</v>
      </c>
      <c r="P85" s="32" t="s">
        <v>101</v>
      </c>
      <c r="Q85" s="32" t="s">
        <v>95</v>
      </c>
      <c r="R85" s="32">
        <v>0</v>
      </c>
      <c r="S85" s="32">
        <v>1</v>
      </c>
      <c r="T85" s="32">
        <v>2</v>
      </c>
      <c r="U85" s="32">
        <v>1</v>
      </c>
      <c r="V85" s="32" t="s">
        <v>86</v>
      </c>
      <c r="W85" s="32" t="s">
        <v>87</v>
      </c>
      <c r="X85" s="32" t="s">
        <v>387</v>
      </c>
    </row>
    <row r="86" spans="1:24" x14ac:dyDescent="0.25">
      <c r="A86" s="32">
        <v>85</v>
      </c>
      <c r="B86" s="32" t="s">
        <v>385</v>
      </c>
      <c r="C86" s="32" t="s">
        <v>8</v>
      </c>
      <c r="D86" s="32" t="s">
        <v>79</v>
      </c>
      <c r="E86" s="32" t="s">
        <v>36</v>
      </c>
      <c r="F86" s="32">
        <v>0</v>
      </c>
      <c r="G86" s="33">
        <v>7820</v>
      </c>
      <c r="H86" s="33">
        <v>45000</v>
      </c>
      <c r="I86" s="34">
        <v>0.17399999999999999</v>
      </c>
      <c r="J86" s="35"/>
      <c r="K86" s="36"/>
      <c r="L86" s="32" t="s">
        <v>110</v>
      </c>
      <c r="M86" s="32" t="s">
        <v>111</v>
      </c>
      <c r="N86" s="32" t="s">
        <v>112</v>
      </c>
      <c r="O86" s="32" t="s">
        <v>83</v>
      </c>
      <c r="P86" s="32" t="s">
        <v>119</v>
      </c>
      <c r="Q86" s="32" t="s">
        <v>114</v>
      </c>
      <c r="R86" s="32">
        <v>0</v>
      </c>
      <c r="S86" s="32">
        <v>2</v>
      </c>
      <c r="T86" s="32">
        <v>2</v>
      </c>
      <c r="U86" s="32">
        <v>1</v>
      </c>
      <c r="V86" s="32" t="s">
        <v>96</v>
      </c>
      <c r="W86" s="32" t="s">
        <v>115</v>
      </c>
      <c r="X86" s="32" t="s">
        <v>116</v>
      </c>
    </row>
    <row r="87" spans="1:24" x14ac:dyDescent="0.25">
      <c r="A87" s="32">
        <v>86</v>
      </c>
      <c r="B87" s="32" t="s">
        <v>388</v>
      </c>
      <c r="C87" s="32" t="s">
        <v>5</v>
      </c>
      <c r="D87" s="32" t="s">
        <v>90</v>
      </c>
      <c r="E87" s="32" t="s">
        <v>30</v>
      </c>
      <c r="F87" s="32">
        <v>1</v>
      </c>
      <c r="G87" s="33">
        <v>150</v>
      </c>
      <c r="H87" s="33">
        <v>1500</v>
      </c>
      <c r="I87" s="34">
        <v>0.1</v>
      </c>
      <c r="J87" s="35">
        <v>46234</v>
      </c>
      <c r="K87" s="36">
        <v>46204</v>
      </c>
      <c r="L87" s="32" t="s">
        <v>80</v>
      </c>
      <c r="M87" s="32" t="s">
        <v>123</v>
      </c>
      <c r="N87" s="32" t="s">
        <v>389</v>
      </c>
      <c r="O87" s="32" t="s">
        <v>125</v>
      </c>
      <c r="P87" s="32" t="s">
        <v>119</v>
      </c>
      <c r="Q87" s="32" t="s">
        <v>95</v>
      </c>
      <c r="R87" s="32">
        <v>0</v>
      </c>
      <c r="S87" s="32">
        <v>1</v>
      </c>
      <c r="T87" s="32">
        <v>1</v>
      </c>
      <c r="U87" s="32">
        <v>0</v>
      </c>
      <c r="V87" s="32" t="s">
        <v>96</v>
      </c>
      <c r="W87" s="32" t="s">
        <v>283</v>
      </c>
      <c r="X87" s="32" t="s">
        <v>390</v>
      </c>
    </row>
    <row r="88" spans="1:24" x14ac:dyDescent="0.25">
      <c r="A88" s="32">
        <v>87</v>
      </c>
      <c r="B88" s="32" t="s">
        <v>391</v>
      </c>
      <c r="C88" s="32" t="s">
        <v>17</v>
      </c>
      <c r="D88" s="32" t="s">
        <v>79</v>
      </c>
      <c r="E88" s="32" t="s">
        <v>32</v>
      </c>
      <c r="F88" s="32">
        <v>0</v>
      </c>
      <c r="G88" s="33">
        <v>134</v>
      </c>
      <c r="H88" s="33">
        <v>70000</v>
      </c>
      <c r="I88" s="34">
        <v>2E-3</v>
      </c>
      <c r="J88" s="35">
        <v>46054</v>
      </c>
      <c r="K88" s="36">
        <v>46054</v>
      </c>
      <c r="L88" s="32" t="s">
        <v>25</v>
      </c>
      <c r="M88" s="32" t="s">
        <v>187</v>
      </c>
      <c r="N88" s="32" t="s">
        <v>187</v>
      </c>
      <c r="O88" s="32" t="s">
        <v>160</v>
      </c>
      <c r="P88" s="32" t="s">
        <v>101</v>
      </c>
      <c r="Q88" s="32" t="s">
        <v>95</v>
      </c>
      <c r="R88" s="32">
        <v>0</v>
      </c>
      <c r="S88" s="32">
        <v>1</v>
      </c>
      <c r="T88" s="32">
        <v>1</v>
      </c>
      <c r="U88" s="32">
        <v>0</v>
      </c>
      <c r="V88" s="32" t="s">
        <v>96</v>
      </c>
      <c r="W88" s="32" t="s">
        <v>188</v>
      </c>
      <c r="X88" s="32" t="s">
        <v>392</v>
      </c>
    </row>
    <row r="89" spans="1:24" x14ac:dyDescent="0.25">
      <c r="A89" s="32">
        <v>88</v>
      </c>
      <c r="B89" s="32" t="s">
        <v>393</v>
      </c>
      <c r="C89" s="32" t="s">
        <v>33</v>
      </c>
      <c r="D89" s="32" t="s">
        <v>90</v>
      </c>
      <c r="E89" s="32" t="s">
        <v>30</v>
      </c>
      <c r="F89" s="32">
        <v>1</v>
      </c>
      <c r="G89" s="33">
        <v>4000</v>
      </c>
      <c r="H89" s="33">
        <v>80000</v>
      </c>
      <c r="I89" s="34">
        <v>0.05</v>
      </c>
      <c r="J89" s="35">
        <v>46155</v>
      </c>
      <c r="K89" s="36">
        <v>46143</v>
      </c>
      <c r="L89" s="32" t="s">
        <v>80</v>
      </c>
      <c r="M89" s="32" t="s">
        <v>91</v>
      </c>
      <c r="N89" s="32" t="s">
        <v>394</v>
      </c>
      <c r="O89" s="32" t="s">
        <v>160</v>
      </c>
      <c r="P89" s="32" t="s">
        <v>84</v>
      </c>
      <c r="Q89" s="32" t="s">
        <v>102</v>
      </c>
      <c r="R89" s="32">
        <v>0</v>
      </c>
      <c r="S89" s="32">
        <v>1</v>
      </c>
      <c r="T89" s="32">
        <v>1</v>
      </c>
      <c r="U89" s="32">
        <v>0</v>
      </c>
      <c r="V89" s="32" t="s">
        <v>96</v>
      </c>
      <c r="W89" s="32" t="s">
        <v>395</v>
      </c>
      <c r="X89" s="32" t="s">
        <v>396</v>
      </c>
    </row>
    <row r="90" spans="1:24" x14ac:dyDescent="0.25">
      <c r="A90" s="32">
        <v>89</v>
      </c>
      <c r="B90" s="32" t="s">
        <v>397</v>
      </c>
      <c r="C90" s="32" t="s">
        <v>15</v>
      </c>
      <c r="D90" s="32" t="s">
        <v>79</v>
      </c>
      <c r="E90" s="32" t="s">
        <v>30</v>
      </c>
      <c r="F90" s="32">
        <v>1</v>
      </c>
      <c r="G90" s="33">
        <v>20000</v>
      </c>
      <c r="H90" s="33">
        <v>200000</v>
      </c>
      <c r="I90" s="34">
        <v>0.1</v>
      </c>
      <c r="J90" s="35"/>
      <c r="K90" s="36"/>
      <c r="L90" s="32" t="s">
        <v>290</v>
      </c>
      <c r="M90" s="32" t="s">
        <v>398</v>
      </c>
      <c r="N90" s="32" t="s">
        <v>399</v>
      </c>
      <c r="O90" s="32" t="s">
        <v>113</v>
      </c>
      <c r="P90" s="32" t="s">
        <v>119</v>
      </c>
      <c r="Q90" s="32" t="s">
        <v>114</v>
      </c>
      <c r="R90" s="32">
        <v>0</v>
      </c>
      <c r="S90" s="32">
        <v>1</v>
      </c>
      <c r="T90" s="32">
        <v>1</v>
      </c>
      <c r="U90" s="32">
        <v>0</v>
      </c>
      <c r="V90" s="32" t="s">
        <v>96</v>
      </c>
      <c r="W90" s="32" t="s">
        <v>400</v>
      </c>
      <c r="X90" s="32" t="s">
        <v>401</v>
      </c>
    </row>
    <row r="91" spans="1:24" x14ac:dyDescent="0.25">
      <c r="A91" s="32">
        <v>90</v>
      </c>
      <c r="B91" s="32" t="s">
        <v>402</v>
      </c>
      <c r="C91" s="32" t="s">
        <v>17</v>
      </c>
      <c r="D91" s="32" t="s">
        <v>79</v>
      </c>
      <c r="E91" s="32" t="s">
        <v>32</v>
      </c>
      <c r="F91" s="32">
        <v>0</v>
      </c>
      <c r="G91" s="33">
        <v>73</v>
      </c>
      <c r="H91" s="33">
        <v>11000</v>
      </c>
      <c r="I91" s="34">
        <v>6.9999999999999004E-3</v>
      </c>
      <c r="J91" s="35">
        <v>46288</v>
      </c>
      <c r="K91" s="36">
        <v>46266</v>
      </c>
      <c r="L91" s="32" t="s">
        <v>80</v>
      </c>
      <c r="M91" s="32" t="s">
        <v>151</v>
      </c>
      <c r="N91" s="32" t="s">
        <v>403</v>
      </c>
      <c r="O91" s="32" t="s">
        <v>83</v>
      </c>
      <c r="P91" s="32" t="s">
        <v>101</v>
      </c>
      <c r="Q91" s="32" t="s">
        <v>137</v>
      </c>
      <c r="R91" s="32">
        <v>0</v>
      </c>
      <c r="S91" s="32">
        <v>1</v>
      </c>
      <c r="T91" s="32">
        <v>1</v>
      </c>
      <c r="U91" s="32">
        <v>0</v>
      </c>
      <c r="V91" s="32" t="s">
        <v>96</v>
      </c>
      <c r="W91" s="32" t="s">
        <v>404</v>
      </c>
      <c r="X91" s="32" t="s">
        <v>405</v>
      </c>
    </row>
    <row r="92" spans="1:24" x14ac:dyDescent="0.25">
      <c r="A92" s="32">
        <v>91</v>
      </c>
      <c r="B92" s="32" t="s">
        <v>406</v>
      </c>
      <c r="C92" s="32" t="s">
        <v>31</v>
      </c>
      <c r="D92" s="32" t="s">
        <v>79</v>
      </c>
      <c r="E92" s="32" t="s">
        <v>32</v>
      </c>
      <c r="F92" s="32">
        <v>0</v>
      </c>
      <c r="G92" s="33">
        <v>1300</v>
      </c>
      <c r="H92" s="33">
        <v>17000</v>
      </c>
      <c r="I92" s="34">
        <v>7.5999999999999998E-2</v>
      </c>
      <c r="J92" s="35">
        <v>46139</v>
      </c>
      <c r="K92" s="36">
        <v>46113</v>
      </c>
      <c r="L92" s="32" t="s">
        <v>80</v>
      </c>
      <c r="M92" s="32" t="s">
        <v>144</v>
      </c>
      <c r="N92" s="32" t="s">
        <v>407</v>
      </c>
      <c r="O92" s="32" t="s">
        <v>83</v>
      </c>
      <c r="P92" s="32" t="s">
        <v>84</v>
      </c>
      <c r="Q92" s="32" t="s">
        <v>102</v>
      </c>
      <c r="R92" s="32">
        <v>0</v>
      </c>
      <c r="S92" s="32">
        <v>1</v>
      </c>
      <c r="T92" s="32">
        <v>1</v>
      </c>
      <c r="U92" s="32">
        <v>0</v>
      </c>
      <c r="V92" s="32" t="s">
        <v>96</v>
      </c>
      <c r="W92" s="32" t="s">
        <v>264</v>
      </c>
      <c r="X92" s="32" t="s">
        <v>408</v>
      </c>
    </row>
    <row r="93" spans="1:24" x14ac:dyDescent="0.25">
      <c r="A93" s="32">
        <v>92</v>
      </c>
      <c r="B93" s="32" t="s">
        <v>409</v>
      </c>
      <c r="C93" s="32" t="s">
        <v>33</v>
      </c>
      <c r="D93" s="32" t="s">
        <v>90</v>
      </c>
      <c r="E93" s="32" t="s">
        <v>30</v>
      </c>
      <c r="F93" s="32">
        <v>1</v>
      </c>
      <c r="G93" s="33">
        <v>290</v>
      </c>
      <c r="H93" s="33">
        <v>1300</v>
      </c>
      <c r="I93" s="34">
        <v>0.223</v>
      </c>
      <c r="J93" s="35">
        <v>46163</v>
      </c>
      <c r="K93" s="36">
        <v>46143</v>
      </c>
      <c r="L93" s="32" t="s">
        <v>80</v>
      </c>
      <c r="M93" s="32" t="s">
        <v>91</v>
      </c>
      <c r="N93" s="32" t="s">
        <v>410</v>
      </c>
      <c r="O93" s="32" t="s">
        <v>125</v>
      </c>
      <c r="P93" s="32" t="s">
        <v>119</v>
      </c>
      <c r="Q93" s="32" t="s">
        <v>95</v>
      </c>
      <c r="R93" s="32">
        <v>0</v>
      </c>
      <c r="S93" s="32">
        <v>1</v>
      </c>
      <c r="T93" s="32">
        <v>1</v>
      </c>
      <c r="U93" s="32">
        <v>0</v>
      </c>
      <c r="V93" s="32" t="s">
        <v>96</v>
      </c>
      <c r="W93" s="32" t="s">
        <v>411</v>
      </c>
      <c r="X93" s="32" t="s">
        <v>412</v>
      </c>
    </row>
    <row r="94" spans="1:24" x14ac:dyDescent="0.25">
      <c r="A94" s="32">
        <v>93</v>
      </c>
      <c r="B94" s="32" t="s">
        <v>413</v>
      </c>
      <c r="C94" s="32" t="s">
        <v>15</v>
      </c>
      <c r="D94" s="32" t="s">
        <v>79</v>
      </c>
      <c r="E94" s="32" t="s">
        <v>36</v>
      </c>
      <c r="F94" s="32">
        <v>0</v>
      </c>
      <c r="G94" s="33">
        <v>600</v>
      </c>
      <c r="H94" s="33">
        <v>3000</v>
      </c>
      <c r="I94" s="34">
        <v>0.2</v>
      </c>
      <c r="J94" s="35">
        <v>46104</v>
      </c>
      <c r="K94" s="36">
        <v>46082</v>
      </c>
      <c r="L94" s="32" t="s">
        <v>80</v>
      </c>
      <c r="M94" s="32" t="s">
        <v>106</v>
      </c>
      <c r="N94" s="32" t="s">
        <v>414</v>
      </c>
      <c r="O94" s="32" t="s">
        <v>125</v>
      </c>
      <c r="P94" s="32" t="s">
        <v>119</v>
      </c>
      <c r="Q94" s="32" t="s">
        <v>85</v>
      </c>
      <c r="R94" s="32">
        <v>0</v>
      </c>
      <c r="S94" s="32">
        <v>1</v>
      </c>
      <c r="T94" s="32">
        <v>1</v>
      </c>
      <c r="U94" s="32">
        <v>0</v>
      </c>
      <c r="V94" s="32" t="s">
        <v>96</v>
      </c>
      <c r="W94" s="32" t="s">
        <v>415</v>
      </c>
      <c r="X94" s="32" t="s">
        <v>416</v>
      </c>
    </row>
    <row r="95" spans="1:24" x14ac:dyDescent="0.25">
      <c r="A95" s="32">
        <v>94</v>
      </c>
      <c r="B95" s="32" t="s">
        <v>417</v>
      </c>
      <c r="C95" s="32" t="s">
        <v>33</v>
      </c>
      <c r="D95" s="32" t="s">
        <v>90</v>
      </c>
      <c r="E95" s="32" t="s">
        <v>30</v>
      </c>
      <c r="F95" s="32">
        <v>1</v>
      </c>
      <c r="G95" s="33">
        <v>1100</v>
      </c>
      <c r="H95" s="33">
        <v>5156</v>
      </c>
      <c r="I95" s="34">
        <v>0.21299999999999999</v>
      </c>
      <c r="J95" s="35">
        <v>46149</v>
      </c>
      <c r="K95" s="36">
        <v>46143</v>
      </c>
      <c r="L95" s="32" t="s">
        <v>80</v>
      </c>
      <c r="M95" s="32" t="s">
        <v>91</v>
      </c>
      <c r="N95" s="32" t="s">
        <v>227</v>
      </c>
      <c r="O95" s="32" t="s">
        <v>125</v>
      </c>
      <c r="P95" s="32" t="s">
        <v>119</v>
      </c>
      <c r="Q95" s="32" t="s">
        <v>102</v>
      </c>
      <c r="R95" s="32">
        <v>0</v>
      </c>
      <c r="S95" s="32">
        <v>1</v>
      </c>
      <c r="T95" s="32">
        <v>1</v>
      </c>
      <c r="U95" s="32">
        <v>0</v>
      </c>
      <c r="V95" s="32" t="s">
        <v>96</v>
      </c>
      <c r="W95" s="32" t="s">
        <v>418</v>
      </c>
      <c r="X95" s="32" t="s">
        <v>419</v>
      </c>
    </row>
    <row r="96" spans="1:24" x14ac:dyDescent="0.25">
      <c r="A96" s="32">
        <v>95</v>
      </c>
      <c r="B96" s="32" t="s">
        <v>420</v>
      </c>
      <c r="C96" s="32" t="s">
        <v>33</v>
      </c>
      <c r="D96" s="32" t="s">
        <v>90</v>
      </c>
      <c r="E96" s="32" t="s">
        <v>30</v>
      </c>
      <c r="F96" s="32">
        <v>1</v>
      </c>
      <c r="G96" s="33">
        <v>15000</v>
      </c>
      <c r="H96" s="33">
        <v>357600</v>
      </c>
      <c r="I96" s="34">
        <v>4.2000000000000003E-2</v>
      </c>
      <c r="J96" s="35">
        <v>46141</v>
      </c>
      <c r="K96" s="36">
        <v>46113</v>
      </c>
      <c r="L96" s="32" t="s">
        <v>80</v>
      </c>
      <c r="M96" s="32" t="s">
        <v>144</v>
      </c>
      <c r="N96" s="32" t="s">
        <v>421</v>
      </c>
      <c r="O96" s="32" t="s">
        <v>113</v>
      </c>
      <c r="P96" s="32" t="s">
        <v>101</v>
      </c>
      <c r="Q96" s="32" t="s">
        <v>114</v>
      </c>
      <c r="R96" s="32">
        <v>0</v>
      </c>
      <c r="S96" s="32">
        <v>1</v>
      </c>
      <c r="T96" s="32">
        <v>1</v>
      </c>
      <c r="U96" s="32">
        <v>0</v>
      </c>
      <c r="V96" s="32" t="s">
        <v>96</v>
      </c>
      <c r="W96" s="32" t="s">
        <v>422</v>
      </c>
      <c r="X96" s="32" t="s">
        <v>423</v>
      </c>
    </row>
    <row r="97" spans="1:24" x14ac:dyDescent="0.25">
      <c r="A97" s="32">
        <v>96</v>
      </c>
      <c r="B97" s="32" t="s">
        <v>424</v>
      </c>
      <c r="C97" s="32" t="s">
        <v>5</v>
      </c>
      <c r="D97" s="32" t="s">
        <v>90</v>
      </c>
      <c r="E97" s="32" t="s">
        <v>30</v>
      </c>
      <c r="F97" s="32">
        <v>1</v>
      </c>
      <c r="G97" s="33">
        <v>700</v>
      </c>
      <c r="H97" s="33">
        <v>5000</v>
      </c>
      <c r="I97" s="34">
        <v>0.14000000000000001</v>
      </c>
      <c r="J97" s="35">
        <v>46147</v>
      </c>
      <c r="K97" s="36">
        <v>46143</v>
      </c>
      <c r="L97" s="32" t="s">
        <v>80</v>
      </c>
      <c r="M97" s="32" t="s">
        <v>91</v>
      </c>
      <c r="N97" s="32" t="s">
        <v>260</v>
      </c>
      <c r="O97" s="32" t="s">
        <v>125</v>
      </c>
      <c r="P97" s="32" t="s">
        <v>119</v>
      </c>
      <c r="Q97" s="32" t="s">
        <v>85</v>
      </c>
      <c r="R97" s="32">
        <v>0</v>
      </c>
      <c r="S97" s="32">
        <v>1</v>
      </c>
      <c r="T97" s="32">
        <v>1</v>
      </c>
      <c r="U97" s="32">
        <v>0</v>
      </c>
      <c r="V97" s="32" t="s">
        <v>96</v>
      </c>
      <c r="W97" s="32" t="s">
        <v>142</v>
      </c>
      <c r="X97" s="32" t="s">
        <v>425</v>
      </c>
    </row>
    <row r="98" spans="1:24" x14ac:dyDescent="0.25">
      <c r="A98" s="32">
        <v>97</v>
      </c>
      <c r="B98" s="32" t="s">
        <v>426</v>
      </c>
      <c r="C98" s="32" t="s">
        <v>15</v>
      </c>
      <c r="D98" s="32" t="s">
        <v>79</v>
      </c>
      <c r="E98" s="32" t="s">
        <v>37</v>
      </c>
      <c r="F98" s="32">
        <v>0</v>
      </c>
      <c r="G98" s="33">
        <v>6900</v>
      </c>
      <c r="H98" s="33">
        <v>39867</v>
      </c>
      <c r="I98" s="34">
        <v>0.17299999999999999</v>
      </c>
      <c r="J98" s="35">
        <v>46150</v>
      </c>
      <c r="K98" s="36">
        <v>46143</v>
      </c>
      <c r="L98" s="32" t="s">
        <v>80</v>
      </c>
      <c r="M98" s="32" t="s">
        <v>91</v>
      </c>
      <c r="N98" s="32" t="s">
        <v>427</v>
      </c>
      <c r="O98" s="32" t="s">
        <v>83</v>
      </c>
      <c r="P98" s="32" t="s">
        <v>119</v>
      </c>
      <c r="Q98" s="32" t="s">
        <v>114</v>
      </c>
      <c r="R98" s="32">
        <v>0</v>
      </c>
      <c r="S98" s="32">
        <v>1</v>
      </c>
      <c r="T98" s="32">
        <v>1</v>
      </c>
      <c r="U98" s="32">
        <v>0</v>
      </c>
      <c r="V98" s="32" t="s">
        <v>96</v>
      </c>
      <c r="W98" s="32" t="s">
        <v>207</v>
      </c>
      <c r="X98" s="32" t="s">
        <v>428</v>
      </c>
    </row>
    <row r="99" spans="1:24" x14ac:dyDescent="0.25">
      <c r="A99" s="32">
        <v>98</v>
      </c>
      <c r="B99" s="32" t="s">
        <v>429</v>
      </c>
      <c r="C99" s="32" t="s">
        <v>33</v>
      </c>
      <c r="D99" s="32" t="s">
        <v>90</v>
      </c>
      <c r="E99" s="32" t="s">
        <v>37</v>
      </c>
      <c r="F99" s="32">
        <v>0</v>
      </c>
      <c r="G99" s="33">
        <v>110</v>
      </c>
      <c r="H99" s="33">
        <v>18000</v>
      </c>
      <c r="I99" s="34">
        <v>6.0000000000000001E-3</v>
      </c>
      <c r="J99" s="35">
        <v>46087</v>
      </c>
      <c r="K99" s="36">
        <v>46082</v>
      </c>
      <c r="L99" s="32" t="s">
        <v>80</v>
      </c>
      <c r="M99" s="32" t="s">
        <v>106</v>
      </c>
      <c r="N99" s="32" t="s">
        <v>430</v>
      </c>
      <c r="O99" s="32" t="s">
        <v>83</v>
      </c>
      <c r="P99" s="32" t="s">
        <v>101</v>
      </c>
      <c r="Q99" s="32" t="s">
        <v>95</v>
      </c>
      <c r="R99" s="32">
        <v>0</v>
      </c>
      <c r="S99" s="32">
        <v>1</v>
      </c>
      <c r="T99" s="32">
        <v>1</v>
      </c>
      <c r="U99" s="32">
        <v>0</v>
      </c>
      <c r="V99" s="32" t="s">
        <v>96</v>
      </c>
      <c r="W99" s="32" t="s">
        <v>431</v>
      </c>
      <c r="X99" s="32" t="s">
        <v>432</v>
      </c>
    </row>
    <row r="100" spans="1:24" x14ac:dyDescent="0.25">
      <c r="A100" s="32">
        <v>99</v>
      </c>
      <c r="B100" s="32" t="s">
        <v>433</v>
      </c>
      <c r="C100" s="32" t="s">
        <v>17</v>
      </c>
      <c r="D100" s="32" t="s">
        <v>79</v>
      </c>
      <c r="E100" s="32" t="s">
        <v>34</v>
      </c>
      <c r="F100" s="32">
        <v>0</v>
      </c>
      <c r="G100" s="33">
        <v>1037</v>
      </c>
      <c r="H100" s="33">
        <v>99000</v>
      </c>
      <c r="I100" s="34">
        <v>0.01</v>
      </c>
      <c r="J100" s="35">
        <v>46273</v>
      </c>
      <c r="K100" s="36">
        <v>46266</v>
      </c>
      <c r="L100" s="32" t="s">
        <v>80</v>
      </c>
      <c r="M100" s="32" t="s">
        <v>151</v>
      </c>
      <c r="N100" s="32" t="s">
        <v>434</v>
      </c>
      <c r="O100" s="32" t="s">
        <v>160</v>
      </c>
      <c r="P100" s="32" t="s">
        <v>101</v>
      </c>
      <c r="Q100" s="32" t="s">
        <v>102</v>
      </c>
      <c r="R100" s="32">
        <v>0</v>
      </c>
      <c r="S100" s="32">
        <v>1</v>
      </c>
      <c r="T100" s="32">
        <v>1</v>
      </c>
      <c r="U100" s="32">
        <v>0</v>
      </c>
      <c r="V100" s="32" t="s">
        <v>96</v>
      </c>
      <c r="W100" s="32" t="s">
        <v>404</v>
      </c>
      <c r="X100" s="32" t="s">
        <v>435</v>
      </c>
    </row>
    <row r="101" spans="1:24" x14ac:dyDescent="0.25">
      <c r="A101" s="32">
        <v>100</v>
      </c>
      <c r="B101" s="32" t="s">
        <v>436</v>
      </c>
      <c r="C101" s="32" t="s">
        <v>17</v>
      </c>
      <c r="D101" s="32" t="s">
        <v>79</v>
      </c>
      <c r="E101" s="32" t="s">
        <v>32</v>
      </c>
      <c r="F101" s="32">
        <v>0</v>
      </c>
      <c r="G101" s="33">
        <v>800</v>
      </c>
      <c r="H101" s="33">
        <v>17000</v>
      </c>
      <c r="I101" s="34">
        <v>4.7E-2</v>
      </c>
      <c r="J101" s="35">
        <v>46206</v>
      </c>
      <c r="K101" s="36">
        <v>46204</v>
      </c>
      <c r="L101" s="32" t="s">
        <v>80</v>
      </c>
      <c r="M101" s="32" t="s">
        <v>123</v>
      </c>
      <c r="N101" s="32" t="s">
        <v>437</v>
      </c>
      <c r="O101" s="32" t="s">
        <v>83</v>
      </c>
      <c r="P101" s="32" t="s">
        <v>101</v>
      </c>
      <c r="Q101" s="32" t="s">
        <v>85</v>
      </c>
      <c r="R101" s="32">
        <v>0</v>
      </c>
      <c r="S101" s="32">
        <v>1</v>
      </c>
      <c r="T101" s="32">
        <v>1</v>
      </c>
      <c r="U101" s="32">
        <v>0</v>
      </c>
      <c r="V101" s="32" t="s">
        <v>96</v>
      </c>
      <c r="W101" s="32" t="s">
        <v>438</v>
      </c>
      <c r="X101" s="32" t="s">
        <v>439</v>
      </c>
    </row>
    <row r="102" spans="1:24" x14ac:dyDescent="0.25">
      <c r="A102" s="32">
        <v>101</v>
      </c>
      <c r="B102" s="32" t="s">
        <v>440</v>
      </c>
      <c r="C102" s="32" t="s">
        <v>20</v>
      </c>
      <c r="D102" s="32" t="s">
        <v>79</v>
      </c>
      <c r="E102" s="32" t="s">
        <v>32</v>
      </c>
      <c r="F102" s="32">
        <v>0</v>
      </c>
      <c r="G102" s="33">
        <v>73</v>
      </c>
      <c r="H102" s="33">
        <v>21500</v>
      </c>
      <c r="I102" s="34">
        <v>3.0000000000000001E-3</v>
      </c>
      <c r="J102" s="35">
        <v>46185</v>
      </c>
      <c r="K102" s="36">
        <v>46174</v>
      </c>
      <c r="L102" s="32" t="s">
        <v>80</v>
      </c>
      <c r="M102" s="32" t="s">
        <v>194</v>
      </c>
      <c r="N102" s="32" t="s">
        <v>441</v>
      </c>
      <c r="O102" s="32" t="s">
        <v>83</v>
      </c>
      <c r="P102" s="32" t="s">
        <v>101</v>
      </c>
      <c r="Q102" s="32" t="s">
        <v>137</v>
      </c>
      <c r="R102" s="32">
        <v>0</v>
      </c>
      <c r="S102" s="32">
        <v>1</v>
      </c>
      <c r="T102" s="32">
        <v>1</v>
      </c>
      <c r="U102" s="32">
        <v>0</v>
      </c>
      <c r="V102" s="32" t="s">
        <v>211</v>
      </c>
      <c r="W102" s="32" t="s">
        <v>212</v>
      </c>
      <c r="X102" s="32" t="s">
        <v>442</v>
      </c>
    </row>
    <row r="103" spans="1:24" x14ac:dyDescent="0.25">
      <c r="A103" s="32">
        <v>102</v>
      </c>
      <c r="B103" s="32" t="s">
        <v>443</v>
      </c>
      <c r="C103" s="32" t="s">
        <v>29</v>
      </c>
      <c r="D103" s="32" t="s">
        <v>79</v>
      </c>
      <c r="E103" s="32" t="s">
        <v>32</v>
      </c>
      <c r="F103" s="32">
        <v>0</v>
      </c>
      <c r="G103" s="33">
        <v>43</v>
      </c>
      <c r="H103" s="33">
        <v>2170</v>
      </c>
      <c r="I103" s="34">
        <v>0.02</v>
      </c>
      <c r="J103" s="35">
        <v>46219</v>
      </c>
      <c r="K103" s="36">
        <v>46204</v>
      </c>
      <c r="L103" s="32" t="s">
        <v>80</v>
      </c>
      <c r="M103" s="32" t="s">
        <v>123</v>
      </c>
      <c r="N103" s="32" t="s">
        <v>124</v>
      </c>
      <c r="O103" s="32" t="s">
        <v>125</v>
      </c>
      <c r="P103" s="32" t="s">
        <v>101</v>
      </c>
      <c r="Q103" s="32" t="s">
        <v>137</v>
      </c>
      <c r="R103" s="32">
        <v>0</v>
      </c>
      <c r="S103" s="32">
        <v>1</v>
      </c>
      <c r="T103" s="32">
        <v>1</v>
      </c>
      <c r="U103" s="32">
        <v>0</v>
      </c>
      <c r="V103" s="32" t="s">
        <v>96</v>
      </c>
      <c r="W103" s="32" t="s">
        <v>315</v>
      </c>
      <c r="X103" s="32" t="s">
        <v>444</v>
      </c>
    </row>
    <row r="104" spans="1:24" x14ac:dyDescent="0.25">
      <c r="A104" s="32">
        <v>103</v>
      </c>
      <c r="B104" s="32" t="s">
        <v>445</v>
      </c>
      <c r="C104" s="32" t="s">
        <v>33</v>
      </c>
      <c r="D104" s="32" t="s">
        <v>90</v>
      </c>
      <c r="E104" s="32" t="s">
        <v>37</v>
      </c>
      <c r="F104" s="32">
        <v>0</v>
      </c>
      <c r="G104" s="33">
        <v>150</v>
      </c>
      <c r="H104" s="33">
        <v>2650</v>
      </c>
      <c r="I104" s="34">
        <v>5.7000000000000002E-2</v>
      </c>
      <c r="J104" s="35">
        <v>46209</v>
      </c>
      <c r="K104" s="36">
        <v>46204</v>
      </c>
      <c r="L104" s="32" t="s">
        <v>80</v>
      </c>
      <c r="M104" s="32" t="s">
        <v>123</v>
      </c>
      <c r="N104" s="32" t="s">
        <v>446</v>
      </c>
      <c r="O104" s="32" t="s">
        <v>125</v>
      </c>
      <c r="P104" s="32" t="s">
        <v>84</v>
      </c>
      <c r="Q104" s="32" t="s">
        <v>95</v>
      </c>
      <c r="R104" s="32">
        <v>0</v>
      </c>
      <c r="S104" s="32">
        <v>1</v>
      </c>
      <c r="T104" s="32">
        <v>1</v>
      </c>
      <c r="U104" s="32">
        <v>0</v>
      </c>
      <c r="V104" s="32" t="s">
        <v>211</v>
      </c>
      <c r="W104" s="32" t="s">
        <v>212</v>
      </c>
      <c r="X104" s="32" t="s">
        <v>447</v>
      </c>
    </row>
    <row r="105" spans="1:24" x14ac:dyDescent="0.25">
      <c r="A105" s="32">
        <v>104</v>
      </c>
      <c r="B105" s="32" t="s">
        <v>448</v>
      </c>
      <c r="C105" s="32" t="s">
        <v>17</v>
      </c>
      <c r="D105" s="32" t="s">
        <v>79</v>
      </c>
      <c r="E105" s="32" t="s">
        <v>32</v>
      </c>
      <c r="F105" s="32">
        <v>0</v>
      </c>
      <c r="G105" s="33">
        <v>795</v>
      </c>
      <c r="H105" s="33">
        <v>10000</v>
      </c>
      <c r="I105" s="34">
        <v>0.08</v>
      </c>
      <c r="J105" s="35">
        <v>46082</v>
      </c>
      <c r="K105" s="36">
        <v>46082</v>
      </c>
      <c r="L105" s="32" t="s">
        <v>25</v>
      </c>
      <c r="M105" s="32" t="s">
        <v>106</v>
      </c>
      <c r="N105" s="32" t="s">
        <v>106</v>
      </c>
      <c r="O105" s="32" t="s">
        <v>83</v>
      </c>
      <c r="P105" s="32" t="s">
        <v>84</v>
      </c>
      <c r="Q105" s="32" t="s">
        <v>85</v>
      </c>
      <c r="R105" s="32">
        <v>0</v>
      </c>
      <c r="S105" s="32">
        <v>1</v>
      </c>
      <c r="T105" s="32">
        <v>2</v>
      </c>
      <c r="U105" s="32">
        <v>1</v>
      </c>
      <c r="V105" s="32" t="s">
        <v>86</v>
      </c>
      <c r="W105" s="32" t="s">
        <v>449</v>
      </c>
      <c r="X105" s="32" t="s">
        <v>450</v>
      </c>
    </row>
    <row r="106" spans="1:24" x14ac:dyDescent="0.25">
      <c r="A106" s="32">
        <v>105</v>
      </c>
      <c r="B106" s="32" t="s">
        <v>448</v>
      </c>
      <c r="C106" s="32" t="s">
        <v>17</v>
      </c>
      <c r="D106" s="32" t="s">
        <v>79</v>
      </c>
      <c r="E106" s="32" t="s">
        <v>32</v>
      </c>
      <c r="F106" s="32">
        <v>0</v>
      </c>
      <c r="G106" s="33">
        <v>545</v>
      </c>
      <c r="H106" s="33">
        <v>10000</v>
      </c>
      <c r="I106" s="34">
        <v>5.5E-2</v>
      </c>
      <c r="J106" s="35">
        <v>46265</v>
      </c>
      <c r="K106" s="36">
        <v>46235</v>
      </c>
      <c r="L106" s="32" t="s">
        <v>80</v>
      </c>
      <c r="M106" s="32" t="s">
        <v>81</v>
      </c>
      <c r="N106" s="32" t="s">
        <v>82</v>
      </c>
      <c r="O106" s="32" t="s">
        <v>83</v>
      </c>
      <c r="P106" s="32" t="s">
        <v>84</v>
      </c>
      <c r="Q106" s="32" t="s">
        <v>85</v>
      </c>
      <c r="R106" s="32">
        <v>0</v>
      </c>
      <c r="S106" s="32">
        <v>2</v>
      </c>
      <c r="T106" s="32">
        <v>2</v>
      </c>
      <c r="U106" s="32">
        <v>1</v>
      </c>
      <c r="V106" s="32" t="s">
        <v>96</v>
      </c>
      <c r="W106" s="32" t="s">
        <v>451</v>
      </c>
      <c r="X106" s="32" t="s">
        <v>452</v>
      </c>
    </row>
    <row r="107" spans="1:24" x14ac:dyDescent="0.25">
      <c r="A107" s="32">
        <v>106</v>
      </c>
      <c r="B107" s="32" t="s">
        <v>453</v>
      </c>
      <c r="C107" s="32" t="s">
        <v>33</v>
      </c>
      <c r="D107" s="32" t="s">
        <v>90</v>
      </c>
      <c r="E107" s="32" t="s">
        <v>30</v>
      </c>
      <c r="F107" s="32">
        <v>1</v>
      </c>
      <c r="G107" s="33">
        <v>500</v>
      </c>
      <c r="H107" s="33">
        <v>10000</v>
      </c>
      <c r="I107" s="34">
        <v>0.05</v>
      </c>
      <c r="J107" s="35">
        <v>46054</v>
      </c>
      <c r="K107" s="36">
        <v>46054</v>
      </c>
      <c r="L107" s="32" t="s">
        <v>25</v>
      </c>
      <c r="M107" s="32" t="s">
        <v>187</v>
      </c>
      <c r="N107" s="32" t="s">
        <v>187</v>
      </c>
      <c r="O107" s="32" t="s">
        <v>83</v>
      </c>
      <c r="P107" s="32" t="s">
        <v>84</v>
      </c>
      <c r="Q107" s="32" t="s">
        <v>85</v>
      </c>
      <c r="R107" s="32">
        <v>0</v>
      </c>
      <c r="S107" s="32">
        <v>1</v>
      </c>
      <c r="T107" s="32">
        <v>1</v>
      </c>
      <c r="U107" s="32">
        <v>0</v>
      </c>
      <c r="V107" s="32" t="s">
        <v>96</v>
      </c>
      <c r="W107" s="32" t="s">
        <v>411</v>
      </c>
      <c r="X107" s="32" t="s">
        <v>454</v>
      </c>
    </row>
    <row r="108" spans="1:24" x14ac:dyDescent="0.25">
      <c r="A108" s="32">
        <v>107</v>
      </c>
      <c r="B108" s="32" t="s">
        <v>455</v>
      </c>
      <c r="C108" s="32" t="s">
        <v>5</v>
      </c>
      <c r="D108" s="32" t="s">
        <v>90</v>
      </c>
      <c r="E108" s="32" t="s">
        <v>30</v>
      </c>
      <c r="F108" s="32">
        <v>1</v>
      </c>
      <c r="G108" s="33">
        <v>180</v>
      </c>
      <c r="H108" s="33">
        <v>1500</v>
      </c>
      <c r="I108" s="34">
        <v>0.12</v>
      </c>
      <c r="J108" s="35">
        <v>46100</v>
      </c>
      <c r="K108" s="36">
        <v>46082</v>
      </c>
      <c r="L108" s="32" t="s">
        <v>80</v>
      </c>
      <c r="M108" s="32" t="s">
        <v>106</v>
      </c>
      <c r="N108" s="32" t="s">
        <v>456</v>
      </c>
      <c r="O108" s="32" t="s">
        <v>125</v>
      </c>
      <c r="P108" s="32" t="s">
        <v>119</v>
      </c>
      <c r="Q108" s="32" t="s">
        <v>95</v>
      </c>
      <c r="R108" s="32">
        <v>0</v>
      </c>
      <c r="S108" s="32">
        <v>1</v>
      </c>
      <c r="T108" s="32">
        <v>1</v>
      </c>
      <c r="U108" s="32">
        <v>0</v>
      </c>
      <c r="V108" s="32" t="s">
        <v>96</v>
      </c>
      <c r="W108" s="32" t="s">
        <v>207</v>
      </c>
      <c r="X108" s="32" t="s">
        <v>457</v>
      </c>
    </row>
    <row r="109" spans="1:24" x14ac:dyDescent="0.25">
      <c r="A109" s="32">
        <v>108</v>
      </c>
      <c r="B109" s="32" t="s">
        <v>458</v>
      </c>
      <c r="C109" s="32" t="s">
        <v>33</v>
      </c>
      <c r="D109" s="32" t="s">
        <v>90</v>
      </c>
      <c r="E109" s="32" t="s">
        <v>36</v>
      </c>
      <c r="F109" s="32">
        <v>0</v>
      </c>
      <c r="G109" s="33">
        <v>70</v>
      </c>
      <c r="H109" s="33">
        <v>450</v>
      </c>
      <c r="I109" s="34">
        <v>0.156</v>
      </c>
      <c r="J109" s="35">
        <v>46262</v>
      </c>
      <c r="K109" s="36">
        <v>46235</v>
      </c>
      <c r="L109" s="32" t="s">
        <v>80</v>
      </c>
      <c r="M109" s="32" t="s">
        <v>81</v>
      </c>
      <c r="N109" s="32" t="s">
        <v>148</v>
      </c>
      <c r="O109" s="32" t="s">
        <v>93</v>
      </c>
      <c r="P109" s="32" t="s">
        <v>119</v>
      </c>
      <c r="Q109" s="32" t="s">
        <v>137</v>
      </c>
      <c r="R109" s="32">
        <v>0</v>
      </c>
      <c r="S109" s="32">
        <v>1</v>
      </c>
      <c r="T109" s="32">
        <v>1</v>
      </c>
      <c r="U109" s="32">
        <v>0</v>
      </c>
      <c r="V109" s="32" t="s">
        <v>96</v>
      </c>
      <c r="W109" s="32" t="s">
        <v>459</v>
      </c>
      <c r="X109" s="32" t="s">
        <v>460</v>
      </c>
    </row>
    <row r="110" spans="1:24" x14ac:dyDescent="0.25">
      <c r="A110" s="32">
        <v>109</v>
      </c>
      <c r="B110" s="32" t="s">
        <v>461</v>
      </c>
      <c r="C110" s="32" t="s">
        <v>2</v>
      </c>
      <c r="D110" s="32" t="s">
        <v>79</v>
      </c>
      <c r="E110" s="32" t="s">
        <v>32</v>
      </c>
      <c r="F110" s="32">
        <v>0</v>
      </c>
      <c r="G110" s="33">
        <v>84</v>
      </c>
      <c r="H110" s="33">
        <v>160000</v>
      </c>
      <c r="I110" s="34">
        <v>1E-3</v>
      </c>
      <c r="J110" s="35">
        <v>46295</v>
      </c>
      <c r="K110" s="36">
        <v>46266</v>
      </c>
      <c r="L110" s="32" t="s">
        <v>80</v>
      </c>
      <c r="M110" s="32" t="s">
        <v>151</v>
      </c>
      <c r="N110" s="32" t="s">
        <v>361</v>
      </c>
      <c r="O110" s="32" t="s">
        <v>113</v>
      </c>
      <c r="P110" s="32" t="s">
        <v>101</v>
      </c>
      <c r="Q110" s="32" t="s">
        <v>137</v>
      </c>
      <c r="R110" s="32">
        <v>0</v>
      </c>
      <c r="S110" s="32">
        <v>1</v>
      </c>
      <c r="T110" s="32">
        <v>1</v>
      </c>
      <c r="U110" s="32">
        <v>0</v>
      </c>
      <c r="V110" s="32" t="s">
        <v>96</v>
      </c>
      <c r="W110" s="32" t="s">
        <v>462</v>
      </c>
      <c r="X110" s="32" t="s">
        <v>463</v>
      </c>
    </row>
    <row r="111" spans="1:24" x14ac:dyDescent="0.25">
      <c r="A111" s="32">
        <v>110</v>
      </c>
      <c r="B111" s="32" t="s">
        <v>464</v>
      </c>
      <c r="C111" s="32" t="s">
        <v>29</v>
      </c>
      <c r="D111" s="32" t="s">
        <v>79</v>
      </c>
      <c r="E111" s="32" t="s">
        <v>36</v>
      </c>
      <c r="F111" s="32">
        <v>0</v>
      </c>
      <c r="G111" s="33">
        <v>100</v>
      </c>
      <c r="H111" s="33">
        <v>200</v>
      </c>
      <c r="I111" s="34">
        <v>0.5</v>
      </c>
      <c r="J111" s="35">
        <v>46143</v>
      </c>
      <c r="K111" s="36">
        <v>46143</v>
      </c>
      <c r="L111" s="32" t="s">
        <v>80</v>
      </c>
      <c r="M111" s="32" t="s">
        <v>91</v>
      </c>
      <c r="N111" s="32" t="s">
        <v>347</v>
      </c>
      <c r="O111" s="32" t="s">
        <v>93</v>
      </c>
      <c r="P111" s="32" t="s">
        <v>94</v>
      </c>
      <c r="Q111" s="32" t="s">
        <v>95</v>
      </c>
      <c r="R111" s="32">
        <v>0</v>
      </c>
      <c r="S111" s="32">
        <v>1</v>
      </c>
      <c r="T111" s="32">
        <v>1</v>
      </c>
      <c r="U111" s="32">
        <v>0</v>
      </c>
      <c r="V111" s="32" t="s">
        <v>96</v>
      </c>
      <c r="W111" s="32" t="s">
        <v>465</v>
      </c>
      <c r="X111" s="32" t="s">
        <v>466</v>
      </c>
    </row>
    <row r="112" spans="1:24" x14ac:dyDescent="0.25">
      <c r="A112" s="32">
        <v>111</v>
      </c>
      <c r="B112" s="32" t="s">
        <v>467</v>
      </c>
      <c r="C112" s="32" t="s">
        <v>2</v>
      </c>
      <c r="D112" s="32" t="s">
        <v>79</v>
      </c>
      <c r="E112" s="32" t="s">
        <v>32</v>
      </c>
      <c r="F112" s="32">
        <v>0</v>
      </c>
      <c r="G112" s="33">
        <v>375</v>
      </c>
      <c r="H112" s="33">
        <v>28000</v>
      </c>
      <c r="I112" s="34">
        <v>1.2999999999999999E-2</v>
      </c>
      <c r="J112" s="35">
        <v>46232</v>
      </c>
      <c r="K112" s="36">
        <v>46204</v>
      </c>
      <c r="L112" s="32" t="s">
        <v>80</v>
      </c>
      <c r="M112" s="32" t="s">
        <v>123</v>
      </c>
      <c r="N112" s="32" t="s">
        <v>231</v>
      </c>
      <c r="O112" s="32" t="s">
        <v>83</v>
      </c>
      <c r="P112" s="32" t="s">
        <v>101</v>
      </c>
      <c r="Q112" s="32" t="s">
        <v>95</v>
      </c>
      <c r="R112" s="32">
        <v>0</v>
      </c>
      <c r="S112" s="32">
        <v>1</v>
      </c>
      <c r="T112" s="32">
        <v>1</v>
      </c>
      <c r="U112" s="32">
        <v>0</v>
      </c>
      <c r="V112" s="32" t="s">
        <v>96</v>
      </c>
      <c r="W112" s="32" t="s">
        <v>468</v>
      </c>
      <c r="X112" s="32" t="s">
        <v>469</v>
      </c>
    </row>
    <row r="113" spans="1:24" x14ac:dyDescent="0.25">
      <c r="A113" s="32">
        <v>112</v>
      </c>
      <c r="B113" s="32" t="s">
        <v>470</v>
      </c>
      <c r="C113" s="32" t="s">
        <v>17</v>
      </c>
      <c r="D113" s="32" t="s">
        <v>79</v>
      </c>
      <c r="E113" s="32" t="s">
        <v>36</v>
      </c>
      <c r="F113" s="32">
        <v>0</v>
      </c>
      <c r="G113" s="33">
        <v>124</v>
      </c>
      <c r="H113" s="33">
        <v>16000</v>
      </c>
      <c r="I113" s="34">
        <v>8.0000000000000002E-3</v>
      </c>
      <c r="J113" s="35">
        <v>46280</v>
      </c>
      <c r="K113" s="36">
        <v>46266</v>
      </c>
      <c r="L113" s="32" t="s">
        <v>80</v>
      </c>
      <c r="M113" s="32" t="s">
        <v>151</v>
      </c>
      <c r="N113" s="32" t="s">
        <v>239</v>
      </c>
      <c r="O113" s="32" t="s">
        <v>83</v>
      </c>
      <c r="P113" s="32" t="s">
        <v>101</v>
      </c>
      <c r="Q113" s="32" t="s">
        <v>95</v>
      </c>
      <c r="R113" s="32">
        <v>0</v>
      </c>
      <c r="S113" s="32">
        <v>1</v>
      </c>
      <c r="T113" s="32">
        <v>1</v>
      </c>
      <c r="U113" s="32">
        <v>0</v>
      </c>
      <c r="V113" s="32" t="s">
        <v>96</v>
      </c>
      <c r="W113" s="32" t="s">
        <v>471</v>
      </c>
      <c r="X113" s="32" t="s">
        <v>472</v>
      </c>
    </row>
    <row r="114" spans="1:24" x14ac:dyDescent="0.25">
      <c r="A114" s="32">
        <v>113</v>
      </c>
      <c r="B114" s="32" t="s">
        <v>473</v>
      </c>
      <c r="C114" s="32" t="s">
        <v>33</v>
      </c>
      <c r="D114" s="32" t="s">
        <v>90</v>
      </c>
      <c r="E114" s="32" t="s">
        <v>30</v>
      </c>
      <c r="F114" s="32">
        <v>1</v>
      </c>
      <c r="G114" s="33">
        <v>250</v>
      </c>
      <c r="H114" s="33">
        <v>1000</v>
      </c>
      <c r="I114" s="34">
        <v>0.25</v>
      </c>
      <c r="J114" s="35">
        <v>46149</v>
      </c>
      <c r="K114" s="36">
        <v>46143</v>
      </c>
      <c r="L114" s="32" t="s">
        <v>80</v>
      </c>
      <c r="M114" s="32" t="s">
        <v>91</v>
      </c>
      <c r="N114" s="32" t="s">
        <v>227</v>
      </c>
      <c r="O114" s="32" t="s">
        <v>125</v>
      </c>
      <c r="P114" s="32" t="s">
        <v>94</v>
      </c>
      <c r="Q114" s="32" t="s">
        <v>95</v>
      </c>
      <c r="R114" s="32">
        <v>0</v>
      </c>
      <c r="S114" s="32">
        <v>1</v>
      </c>
      <c r="T114" s="32">
        <v>1</v>
      </c>
      <c r="U114" s="32">
        <v>0</v>
      </c>
      <c r="V114" s="32" t="s">
        <v>96</v>
      </c>
      <c r="W114" s="32" t="s">
        <v>207</v>
      </c>
      <c r="X114" s="32" t="s">
        <v>474</v>
      </c>
    </row>
    <row r="115" spans="1:24" x14ac:dyDescent="0.25">
      <c r="A115" s="32">
        <v>114</v>
      </c>
      <c r="B115" s="32" t="s">
        <v>475</v>
      </c>
      <c r="C115" s="32" t="s">
        <v>33</v>
      </c>
      <c r="D115" s="32" t="s">
        <v>90</v>
      </c>
      <c r="E115" s="32" t="s">
        <v>30</v>
      </c>
      <c r="F115" s="32">
        <v>1</v>
      </c>
      <c r="G115" s="33">
        <v>11000</v>
      </c>
      <c r="H115" s="33">
        <v>108000</v>
      </c>
      <c r="I115" s="34">
        <v>0.10199999999999999</v>
      </c>
      <c r="J115" s="35">
        <v>46097</v>
      </c>
      <c r="K115" s="36">
        <v>46082</v>
      </c>
      <c r="L115" s="32" t="s">
        <v>80</v>
      </c>
      <c r="M115" s="32" t="s">
        <v>106</v>
      </c>
      <c r="N115" s="32" t="s">
        <v>476</v>
      </c>
      <c r="O115" s="32" t="s">
        <v>113</v>
      </c>
      <c r="P115" s="32" t="s">
        <v>119</v>
      </c>
      <c r="Q115" s="32" t="s">
        <v>114</v>
      </c>
      <c r="R115" s="32">
        <v>0</v>
      </c>
      <c r="S115" s="32">
        <v>1</v>
      </c>
      <c r="T115" s="32">
        <v>1</v>
      </c>
      <c r="U115" s="32">
        <v>0</v>
      </c>
      <c r="V115" s="32" t="s">
        <v>96</v>
      </c>
      <c r="W115" s="32" t="s">
        <v>477</v>
      </c>
      <c r="X115" s="32" t="s">
        <v>478</v>
      </c>
    </row>
    <row r="116" spans="1:24" x14ac:dyDescent="0.25">
      <c r="A116" s="32">
        <v>115</v>
      </c>
      <c r="B116" s="32" t="s">
        <v>479</v>
      </c>
      <c r="C116" s="32" t="s">
        <v>4</v>
      </c>
      <c r="D116" s="32" t="s">
        <v>79</v>
      </c>
      <c r="E116" s="32" t="s">
        <v>36</v>
      </c>
      <c r="F116" s="32">
        <v>0</v>
      </c>
      <c r="G116" s="33">
        <v>1922</v>
      </c>
      <c r="H116" s="33">
        <v>29860</v>
      </c>
      <c r="I116" s="34">
        <v>6.4000000000000001E-2</v>
      </c>
      <c r="J116" s="35">
        <v>46251</v>
      </c>
      <c r="K116" s="36">
        <v>46235</v>
      </c>
      <c r="L116" s="32" t="s">
        <v>80</v>
      </c>
      <c r="M116" s="32" t="s">
        <v>81</v>
      </c>
      <c r="N116" s="32" t="s">
        <v>334</v>
      </c>
      <c r="O116" s="32" t="s">
        <v>83</v>
      </c>
      <c r="P116" s="32" t="s">
        <v>84</v>
      </c>
      <c r="Q116" s="32" t="s">
        <v>102</v>
      </c>
      <c r="R116" s="32">
        <v>0</v>
      </c>
      <c r="S116" s="32">
        <v>1</v>
      </c>
      <c r="T116" s="32">
        <v>1</v>
      </c>
      <c r="U116" s="32">
        <v>0</v>
      </c>
      <c r="V116" s="32" t="s">
        <v>96</v>
      </c>
      <c r="W116" s="32" t="s">
        <v>272</v>
      </c>
      <c r="X116" s="32" t="s">
        <v>480</v>
      </c>
    </row>
    <row r="117" spans="1:24" x14ac:dyDescent="0.25">
      <c r="A117" s="32">
        <v>116</v>
      </c>
      <c r="B117" s="32" t="s">
        <v>481</v>
      </c>
      <c r="C117" s="32" t="s">
        <v>17</v>
      </c>
      <c r="D117" s="32" t="s">
        <v>79</v>
      </c>
      <c r="E117" s="32" t="s">
        <v>32</v>
      </c>
      <c r="F117" s="32">
        <v>0</v>
      </c>
      <c r="G117" s="33">
        <v>30</v>
      </c>
      <c r="H117" s="33">
        <v>150</v>
      </c>
      <c r="I117" s="34">
        <v>0.2</v>
      </c>
      <c r="J117" s="35">
        <v>46080</v>
      </c>
      <c r="K117" s="36">
        <v>46054</v>
      </c>
      <c r="L117" s="32" t="s">
        <v>80</v>
      </c>
      <c r="M117" s="32" t="s">
        <v>187</v>
      </c>
      <c r="N117" s="32" t="s">
        <v>482</v>
      </c>
      <c r="O117" s="32" t="s">
        <v>93</v>
      </c>
      <c r="P117" s="32" t="s">
        <v>119</v>
      </c>
      <c r="Q117" s="32" t="s">
        <v>137</v>
      </c>
      <c r="R117" s="32">
        <v>0</v>
      </c>
      <c r="S117" s="32">
        <v>1</v>
      </c>
      <c r="T117" s="32">
        <v>1</v>
      </c>
      <c r="U117" s="32">
        <v>0</v>
      </c>
      <c r="V117" s="32" t="s">
        <v>96</v>
      </c>
      <c r="W117" s="32" t="s">
        <v>138</v>
      </c>
      <c r="X117" s="32" t="s">
        <v>139</v>
      </c>
    </row>
    <row r="118" spans="1:24" x14ac:dyDescent="0.25">
      <c r="A118" s="32">
        <v>117</v>
      </c>
      <c r="B118" s="32" t="s">
        <v>483</v>
      </c>
      <c r="C118" s="32" t="s">
        <v>29</v>
      </c>
      <c r="D118" s="32" t="s">
        <v>79</v>
      </c>
      <c r="E118" s="32" t="s">
        <v>32</v>
      </c>
      <c r="F118" s="32">
        <v>0</v>
      </c>
      <c r="G118" s="33">
        <v>1000</v>
      </c>
      <c r="H118" s="33">
        <v>220000</v>
      </c>
      <c r="I118" s="34">
        <v>5.0000000000000001E-3</v>
      </c>
      <c r="J118" s="35">
        <v>46121</v>
      </c>
      <c r="K118" s="36">
        <v>46113</v>
      </c>
      <c r="L118" s="32" t="s">
        <v>80</v>
      </c>
      <c r="M118" s="32" t="s">
        <v>144</v>
      </c>
      <c r="N118" s="32" t="s">
        <v>365</v>
      </c>
      <c r="O118" s="32" t="s">
        <v>113</v>
      </c>
      <c r="P118" s="32" t="s">
        <v>101</v>
      </c>
      <c r="Q118" s="32" t="s">
        <v>102</v>
      </c>
      <c r="R118" s="32">
        <v>0</v>
      </c>
      <c r="S118" s="32">
        <v>1</v>
      </c>
      <c r="T118" s="32">
        <v>3</v>
      </c>
      <c r="U118" s="32">
        <v>1</v>
      </c>
      <c r="V118" s="32" t="s">
        <v>96</v>
      </c>
      <c r="W118" s="32" t="s">
        <v>484</v>
      </c>
      <c r="X118" s="32" t="s">
        <v>485</v>
      </c>
    </row>
    <row r="119" spans="1:24" x14ac:dyDescent="0.25">
      <c r="A119" s="32">
        <v>118</v>
      </c>
      <c r="B119" s="32" t="s">
        <v>483</v>
      </c>
      <c r="C119" s="32" t="s">
        <v>29</v>
      </c>
      <c r="D119" s="32" t="s">
        <v>79</v>
      </c>
      <c r="E119" s="32" t="s">
        <v>32</v>
      </c>
      <c r="F119" s="32">
        <v>0</v>
      </c>
      <c r="G119" s="33">
        <v>200</v>
      </c>
      <c r="H119" s="33">
        <v>220000</v>
      </c>
      <c r="I119" s="34">
        <v>1E-3</v>
      </c>
      <c r="J119" s="35">
        <v>46224</v>
      </c>
      <c r="K119" s="36">
        <v>46204</v>
      </c>
      <c r="L119" s="32" t="s">
        <v>80</v>
      </c>
      <c r="M119" s="32" t="s">
        <v>123</v>
      </c>
      <c r="N119" s="32" t="s">
        <v>486</v>
      </c>
      <c r="O119" s="32" t="s">
        <v>113</v>
      </c>
      <c r="P119" s="32" t="s">
        <v>101</v>
      </c>
      <c r="Q119" s="32" t="s">
        <v>95</v>
      </c>
      <c r="R119" s="32">
        <v>0</v>
      </c>
      <c r="S119" s="32">
        <v>2</v>
      </c>
      <c r="T119" s="32">
        <v>3</v>
      </c>
      <c r="U119" s="32">
        <v>1</v>
      </c>
      <c r="V119" s="32" t="s">
        <v>96</v>
      </c>
      <c r="W119" s="32" t="s">
        <v>487</v>
      </c>
      <c r="X119" s="32" t="s">
        <v>488</v>
      </c>
    </row>
    <row r="120" spans="1:24" x14ac:dyDescent="0.25">
      <c r="A120" s="32">
        <v>119</v>
      </c>
      <c r="B120" s="32" t="s">
        <v>483</v>
      </c>
      <c r="C120" s="32" t="s">
        <v>29</v>
      </c>
      <c r="D120" s="32" t="s">
        <v>79</v>
      </c>
      <c r="E120" s="32" t="s">
        <v>36</v>
      </c>
      <c r="F120" s="32">
        <v>0</v>
      </c>
      <c r="G120" s="33">
        <v>300</v>
      </c>
      <c r="H120" s="33">
        <v>231000</v>
      </c>
      <c r="I120" s="34">
        <v>1E-3</v>
      </c>
      <c r="J120" s="35">
        <v>46294</v>
      </c>
      <c r="K120" s="36">
        <v>46266</v>
      </c>
      <c r="L120" s="32" t="s">
        <v>80</v>
      </c>
      <c r="M120" s="32" t="s">
        <v>151</v>
      </c>
      <c r="N120" s="32" t="s">
        <v>489</v>
      </c>
      <c r="O120" s="32" t="s">
        <v>113</v>
      </c>
      <c r="P120" s="32" t="s">
        <v>101</v>
      </c>
      <c r="Q120" s="32" t="s">
        <v>95</v>
      </c>
      <c r="R120" s="32">
        <v>0</v>
      </c>
      <c r="S120" s="32">
        <v>3</v>
      </c>
      <c r="T120" s="32">
        <v>3</v>
      </c>
      <c r="U120" s="32">
        <v>1</v>
      </c>
      <c r="V120" s="32" t="s">
        <v>96</v>
      </c>
      <c r="W120" s="32" t="s">
        <v>264</v>
      </c>
      <c r="X120" s="32" t="s">
        <v>490</v>
      </c>
    </row>
    <row r="121" spans="1:24" x14ac:dyDescent="0.25">
      <c r="A121" s="32">
        <v>120</v>
      </c>
      <c r="B121" s="32" t="s">
        <v>491</v>
      </c>
      <c r="C121" s="32" t="s">
        <v>33</v>
      </c>
      <c r="D121" s="32" t="s">
        <v>90</v>
      </c>
      <c r="E121" s="32" t="s">
        <v>37</v>
      </c>
      <c r="F121" s="32">
        <v>0</v>
      </c>
      <c r="G121" s="33">
        <v>175</v>
      </c>
      <c r="H121" s="33">
        <v>876</v>
      </c>
      <c r="I121" s="34">
        <v>0.2</v>
      </c>
      <c r="J121" s="35">
        <v>46288</v>
      </c>
      <c r="K121" s="36">
        <v>46266</v>
      </c>
      <c r="L121" s="32" t="s">
        <v>80</v>
      </c>
      <c r="M121" s="32" t="s">
        <v>151</v>
      </c>
      <c r="N121" s="32" t="s">
        <v>403</v>
      </c>
      <c r="O121" s="32" t="s">
        <v>93</v>
      </c>
      <c r="P121" s="32" t="s">
        <v>119</v>
      </c>
      <c r="Q121" s="32" t="s">
        <v>95</v>
      </c>
      <c r="R121" s="32">
        <v>0</v>
      </c>
      <c r="S121" s="32">
        <v>1</v>
      </c>
      <c r="T121" s="32">
        <v>1</v>
      </c>
      <c r="U121" s="32">
        <v>0</v>
      </c>
      <c r="V121" s="32" t="s">
        <v>96</v>
      </c>
      <c r="W121" s="32" t="s">
        <v>492</v>
      </c>
      <c r="X121" s="32" t="s">
        <v>493</v>
      </c>
    </row>
    <row r="122" spans="1:24" x14ac:dyDescent="0.25">
      <c r="A122" s="32">
        <v>121</v>
      </c>
      <c r="B122" s="32" t="s">
        <v>494</v>
      </c>
      <c r="C122" s="32" t="s">
        <v>33</v>
      </c>
      <c r="D122" s="32" t="s">
        <v>90</v>
      </c>
      <c r="E122" s="32" t="s">
        <v>36</v>
      </c>
      <c r="F122" s="32">
        <v>0</v>
      </c>
      <c r="G122" s="33">
        <v>90</v>
      </c>
      <c r="H122" s="33">
        <v>314</v>
      </c>
      <c r="I122" s="34">
        <v>0.28699999999999998</v>
      </c>
      <c r="J122" s="35">
        <v>46269</v>
      </c>
      <c r="K122" s="36">
        <v>46266</v>
      </c>
      <c r="L122" s="32" t="s">
        <v>80</v>
      </c>
      <c r="M122" s="32" t="s">
        <v>151</v>
      </c>
      <c r="N122" s="32" t="s">
        <v>495</v>
      </c>
      <c r="O122" s="32" t="s">
        <v>93</v>
      </c>
      <c r="P122" s="32" t="s">
        <v>94</v>
      </c>
      <c r="Q122" s="32" t="s">
        <v>137</v>
      </c>
      <c r="R122" s="32">
        <v>0</v>
      </c>
      <c r="S122" s="32">
        <v>1</v>
      </c>
      <c r="T122" s="32">
        <v>1</v>
      </c>
      <c r="U122" s="32">
        <v>0</v>
      </c>
      <c r="V122" s="32" t="s">
        <v>96</v>
      </c>
      <c r="W122" s="32" t="s">
        <v>496</v>
      </c>
      <c r="X122" s="32" t="s">
        <v>497</v>
      </c>
    </row>
    <row r="123" spans="1:24" x14ac:dyDescent="0.25">
      <c r="A123" s="32">
        <v>122</v>
      </c>
      <c r="B123" s="32" t="s">
        <v>498</v>
      </c>
      <c r="C123" s="32" t="s">
        <v>20</v>
      </c>
      <c r="D123" s="32" t="s">
        <v>79</v>
      </c>
      <c r="E123" s="32" t="s">
        <v>30</v>
      </c>
      <c r="F123" s="32">
        <v>1</v>
      </c>
      <c r="G123" s="33">
        <v>4500</v>
      </c>
      <c r="H123" s="33">
        <v>36000</v>
      </c>
      <c r="I123" s="34">
        <v>0.125</v>
      </c>
      <c r="J123" s="35">
        <v>46051</v>
      </c>
      <c r="K123" s="36">
        <v>46023</v>
      </c>
      <c r="L123" s="32" t="s">
        <v>80</v>
      </c>
      <c r="M123" s="32" t="s">
        <v>100</v>
      </c>
      <c r="N123" s="32" t="s">
        <v>499</v>
      </c>
      <c r="O123" s="32" t="s">
        <v>83</v>
      </c>
      <c r="P123" s="32" t="s">
        <v>119</v>
      </c>
      <c r="Q123" s="32" t="s">
        <v>102</v>
      </c>
      <c r="R123" s="32">
        <v>0</v>
      </c>
      <c r="S123" s="32">
        <v>1</v>
      </c>
      <c r="T123" s="32">
        <v>1</v>
      </c>
      <c r="U123" s="32">
        <v>0</v>
      </c>
      <c r="V123" s="32" t="s">
        <v>96</v>
      </c>
      <c r="W123" s="32" t="s">
        <v>500</v>
      </c>
      <c r="X123" s="32" t="s">
        <v>501</v>
      </c>
    </row>
    <row r="124" spans="1:24" x14ac:dyDescent="0.25">
      <c r="A124" s="32">
        <v>123</v>
      </c>
      <c r="B124" s="32" t="s">
        <v>502</v>
      </c>
      <c r="C124" s="32" t="s">
        <v>20</v>
      </c>
      <c r="D124" s="32" t="s">
        <v>79</v>
      </c>
      <c r="E124" s="32" t="s">
        <v>32</v>
      </c>
      <c r="F124" s="32">
        <v>0</v>
      </c>
      <c r="G124" s="33">
        <v>75</v>
      </c>
      <c r="H124" s="33">
        <v>1300</v>
      </c>
      <c r="I124" s="34">
        <v>5.7999999999999899E-2</v>
      </c>
      <c r="J124" s="35">
        <v>46247</v>
      </c>
      <c r="K124" s="36">
        <v>46235</v>
      </c>
      <c r="L124" s="32" t="s">
        <v>80</v>
      </c>
      <c r="M124" s="32" t="s">
        <v>81</v>
      </c>
      <c r="N124" s="32" t="s">
        <v>503</v>
      </c>
      <c r="O124" s="32" t="s">
        <v>125</v>
      </c>
      <c r="P124" s="32" t="s">
        <v>84</v>
      </c>
      <c r="Q124" s="32" t="s">
        <v>137</v>
      </c>
      <c r="R124" s="32">
        <v>0</v>
      </c>
      <c r="S124" s="32">
        <v>1</v>
      </c>
      <c r="T124" s="32">
        <v>1</v>
      </c>
      <c r="U124" s="32">
        <v>0</v>
      </c>
      <c r="V124" s="32" t="s">
        <v>96</v>
      </c>
      <c r="W124" s="32" t="s">
        <v>504</v>
      </c>
      <c r="X124" s="32" t="s">
        <v>505</v>
      </c>
    </row>
    <row r="125" spans="1:24" x14ac:dyDescent="0.25">
      <c r="A125" s="32">
        <v>124</v>
      </c>
      <c r="B125" s="32" t="s">
        <v>506</v>
      </c>
      <c r="C125" s="32" t="s">
        <v>4</v>
      </c>
      <c r="D125" s="32" t="s">
        <v>79</v>
      </c>
      <c r="E125" s="32" t="s">
        <v>37</v>
      </c>
      <c r="F125" s="32">
        <v>0</v>
      </c>
      <c r="G125" s="33">
        <v>526</v>
      </c>
      <c r="H125" s="33">
        <v>800</v>
      </c>
      <c r="I125" s="34">
        <v>0.65799999999999992</v>
      </c>
      <c r="J125" s="35">
        <v>46114</v>
      </c>
      <c r="K125" s="36">
        <v>46113</v>
      </c>
      <c r="L125" s="32" t="s">
        <v>80</v>
      </c>
      <c r="M125" s="32" t="s">
        <v>144</v>
      </c>
      <c r="N125" s="32" t="s">
        <v>507</v>
      </c>
      <c r="O125" s="32" t="s">
        <v>93</v>
      </c>
      <c r="P125" s="32" t="s">
        <v>94</v>
      </c>
      <c r="Q125" s="32" t="s">
        <v>85</v>
      </c>
      <c r="R125" s="32">
        <v>0</v>
      </c>
      <c r="S125" s="32">
        <v>1</v>
      </c>
      <c r="T125" s="32">
        <v>1</v>
      </c>
      <c r="U125" s="32">
        <v>0</v>
      </c>
      <c r="V125" s="32" t="s">
        <v>96</v>
      </c>
      <c r="W125" s="32" t="s">
        <v>508</v>
      </c>
      <c r="X125" s="32" t="s">
        <v>509</v>
      </c>
    </row>
    <row r="126" spans="1:24" x14ac:dyDescent="0.25">
      <c r="A126" s="32">
        <v>125</v>
      </c>
      <c r="B126" s="32" t="s">
        <v>510</v>
      </c>
      <c r="C126" s="32" t="s">
        <v>7</v>
      </c>
      <c r="D126" s="32" t="s">
        <v>79</v>
      </c>
      <c r="E126" s="32" t="s">
        <v>32</v>
      </c>
      <c r="F126" s="32">
        <v>0</v>
      </c>
      <c r="G126" s="33">
        <v>62</v>
      </c>
      <c r="H126" s="33">
        <v>2700</v>
      </c>
      <c r="I126" s="34">
        <v>2.3E-2</v>
      </c>
      <c r="J126" s="35">
        <v>46278</v>
      </c>
      <c r="K126" s="36">
        <v>46266</v>
      </c>
      <c r="L126" s="32" t="s">
        <v>80</v>
      </c>
      <c r="M126" s="32" t="s">
        <v>151</v>
      </c>
      <c r="N126" s="32" t="s">
        <v>511</v>
      </c>
      <c r="O126" s="32" t="s">
        <v>125</v>
      </c>
      <c r="P126" s="32" t="s">
        <v>101</v>
      </c>
      <c r="Q126" s="32" t="s">
        <v>137</v>
      </c>
      <c r="R126" s="32">
        <v>0</v>
      </c>
      <c r="S126" s="32">
        <v>1</v>
      </c>
      <c r="T126" s="32">
        <v>1</v>
      </c>
      <c r="U126" s="32">
        <v>0</v>
      </c>
      <c r="V126" s="32" t="s">
        <v>86</v>
      </c>
      <c r="W126" s="32" t="s">
        <v>311</v>
      </c>
      <c r="X126" s="32" t="s">
        <v>312</v>
      </c>
    </row>
    <row r="127" spans="1:24" x14ac:dyDescent="0.25">
      <c r="A127" s="32">
        <v>126</v>
      </c>
      <c r="B127" s="32" t="s">
        <v>512</v>
      </c>
      <c r="C127" s="32" t="s">
        <v>33</v>
      </c>
      <c r="D127" s="32" t="s">
        <v>90</v>
      </c>
      <c r="E127" s="32" t="s">
        <v>30</v>
      </c>
      <c r="F127" s="32">
        <v>1</v>
      </c>
      <c r="G127" s="33">
        <v>250</v>
      </c>
      <c r="H127" s="33">
        <v>3500</v>
      </c>
      <c r="I127" s="34">
        <v>7.0999999999999994E-2</v>
      </c>
      <c r="J127" s="35">
        <v>46197</v>
      </c>
      <c r="K127" s="36">
        <v>46174</v>
      </c>
      <c r="L127" s="32" t="s">
        <v>80</v>
      </c>
      <c r="M127" s="32" t="s">
        <v>194</v>
      </c>
      <c r="N127" s="32" t="s">
        <v>513</v>
      </c>
      <c r="O127" s="32" t="s">
        <v>125</v>
      </c>
      <c r="P127" s="32" t="s">
        <v>84</v>
      </c>
      <c r="Q127" s="32" t="s">
        <v>95</v>
      </c>
      <c r="R127" s="32">
        <v>0</v>
      </c>
      <c r="S127" s="32">
        <v>1</v>
      </c>
      <c r="T127" s="32">
        <v>1</v>
      </c>
      <c r="U127" s="32">
        <v>0</v>
      </c>
      <c r="V127" s="32" t="s">
        <v>96</v>
      </c>
      <c r="W127" s="32" t="s">
        <v>514</v>
      </c>
      <c r="X127" s="32" t="s">
        <v>515</v>
      </c>
    </row>
    <row r="128" spans="1:24" x14ac:dyDescent="0.25">
      <c r="A128" s="32">
        <v>127</v>
      </c>
      <c r="B128" s="32" t="s">
        <v>516</v>
      </c>
      <c r="C128" s="32" t="s">
        <v>20</v>
      </c>
      <c r="D128" s="32" t="s">
        <v>79</v>
      </c>
      <c r="E128" s="32" t="s">
        <v>34</v>
      </c>
      <c r="F128" s="32">
        <v>0</v>
      </c>
      <c r="G128" s="33">
        <v>2100</v>
      </c>
      <c r="H128" s="33">
        <v>52000</v>
      </c>
      <c r="I128" s="34">
        <v>0.04</v>
      </c>
      <c r="J128" s="35">
        <v>46154</v>
      </c>
      <c r="K128" s="36">
        <v>46143</v>
      </c>
      <c r="L128" s="32" t="s">
        <v>80</v>
      </c>
      <c r="M128" s="32" t="s">
        <v>91</v>
      </c>
      <c r="N128" s="32" t="s">
        <v>517</v>
      </c>
      <c r="O128" s="32" t="s">
        <v>160</v>
      </c>
      <c r="P128" s="32" t="s">
        <v>101</v>
      </c>
      <c r="Q128" s="32" t="s">
        <v>102</v>
      </c>
      <c r="R128" s="32">
        <v>0</v>
      </c>
      <c r="S128" s="32">
        <v>1</v>
      </c>
      <c r="T128" s="32">
        <v>1</v>
      </c>
      <c r="U128" s="32">
        <v>0</v>
      </c>
      <c r="V128" s="32" t="s">
        <v>96</v>
      </c>
      <c r="W128" s="32" t="s">
        <v>207</v>
      </c>
      <c r="X128" s="32" t="s">
        <v>518</v>
      </c>
    </row>
    <row r="129" spans="1:24" x14ac:dyDescent="0.25">
      <c r="A129" s="32">
        <v>128</v>
      </c>
      <c r="B129" s="32" t="s">
        <v>519</v>
      </c>
      <c r="C129" s="32" t="s">
        <v>33</v>
      </c>
      <c r="D129" s="32" t="s">
        <v>90</v>
      </c>
      <c r="E129" s="32" t="s">
        <v>32</v>
      </c>
      <c r="F129" s="32">
        <v>0</v>
      </c>
      <c r="G129" s="33">
        <v>300</v>
      </c>
      <c r="H129" s="33">
        <v>13000</v>
      </c>
      <c r="I129" s="34">
        <v>2.3E-2</v>
      </c>
      <c r="J129" s="35">
        <v>46091</v>
      </c>
      <c r="K129" s="36">
        <v>46082</v>
      </c>
      <c r="L129" s="32" t="s">
        <v>80</v>
      </c>
      <c r="M129" s="32" t="s">
        <v>106</v>
      </c>
      <c r="N129" s="32" t="s">
        <v>520</v>
      </c>
      <c r="O129" s="32" t="s">
        <v>83</v>
      </c>
      <c r="P129" s="32" t="s">
        <v>101</v>
      </c>
      <c r="Q129" s="32" t="s">
        <v>95</v>
      </c>
      <c r="R129" s="32">
        <v>0</v>
      </c>
      <c r="S129" s="32">
        <v>1</v>
      </c>
      <c r="T129" s="32">
        <v>1</v>
      </c>
      <c r="U129" s="32">
        <v>0</v>
      </c>
      <c r="V129" s="32" t="s">
        <v>96</v>
      </c>
      <c r="W129" s="32" t="s">
        <v>521</v>
      </c>
      <c r="X129" s="32" t="s">
        <v>522</v>
      </c>
    </row>
    <row r="130" spans="1:24" x14ac:dyDescent="0.25">
      <c r="A130" s="32">
        <v>129</v>
      </c>
      <c r="B130" s="32" t="s">
        <v>523</v>
      </c>
      <c r="C130" s="32" t="s">
        <v>33</v>
      </c>
      <c r="D130" s="32" t="s">
        <v>90</v>
      </c>
      <c r="E130" s="32" t="s">
        <v>30</v>
      </c>
      <c r="F130" s="32">
        <v>1</v>
      </c>
      <c r="G130" s="33">
        <v>100</v>
      </c>
      <c r="H130" s="33">
        <v>330</v>
      </c>
      <c r="I130" s="34">
        <v>0.30299999999999999</v>
      </c>
      <c r="J130" s="35">
        <v>46202</v>
      </c>
      <c r="K130" s="36">
        <v>46174</v>
      </c>
      <c r="L130" s="32" t="s">
        <v>80</v>
      </c>
      <c r="M130" s="32" t="s">
        <v>194</v>
      </c>
      <c r="N130" s="32" t="s">
        <v>314</v>
      </c>
      <c r="O130" s="32" t="s">
        <v>93</v>
      </c>
      <c r="P130" s="32" t="s">
        <v>94</v>
      </c>
      <c r="Q130" s="32" t="s">
        <v>95</v>
      </c>
      <c r="R130" s="32">
        <v>0</v>
      </c>
      <c r="S130" s="32">
        <v>1</v>
      </c>
      <c r="T130" s="32">
        <v>1</v>
      </c>
      <c r="U130" s="32">
        <v>0</v>
      </c>
      <c r="V130" s="32" t="s">
        <v>96</v>
      </c>
      <c r="W130" s="32" t="s">
        <v>97</v>
      </c>
      <c r="X130" s="32" t="s">
        <v>524</v>
      </c>
    </row>
    <row r="131" spans="1:24" x14ac:dyDescent="0.25">
      <c r="A131" s="32">
        <v>130</v>
      </c>
      <c r="B131" s="32" t="s">
        <v>525</v>
      </c>
      <c r="C131" s="32" t="s">
        <v>17</v>
      </c>
      <c r="D131" s="32" t="s">
        <v>79</v>
      </c>
      <c r="E131" s="32" t="s">
        <v>32</v>
      </c>
      <c r="F131" s="32">
        <v>0</v>
      </c>
      <c r="G131" s="33">
        <v>216</v>
      </c>
      <c r="H131" s="33">
        <v>97100</v>
      </c>
      <c r="I131" s="34">
        <v>2E-3</v>
      </c>
      <c r="J131" s="35">
        <v>46280</v>
      </c>
      <c r="K131" s="36">
        <v>46266</v>
      </c>
      <c r="L131" s="32" t="s">
        <v>80</v>
      </c>
      <c r="M131" s="32" t="s">
        <v>151</v>
      </c>
      <c r="N131" s="32" t="s">
        <v>239</v>
      </c>
      <c r="O131" s="32" t="s">
        <v>160</v>
      </c>
      <c r="P131" s="32" t="s">
        <v>101</v>
      </c>
      <c r="Q131" s="32" t="s">
        <v>95</v>
      </c>
      <c r="R131" s="32">
        <v>0</v>
      </c>
      <c r="S131" s="32">
        <v>1</v>
      </c>
      <c r="T131" s="32">
        <v>1</v>
      </c>
      <c r="U131" s="32">
        <v>0</v>
      </c>
      <c r="V131" s="32" t="s">
        <v>96</v>
      </c>
      <c r="W131" s="32" t="s">
        <v>526</v>
      </c>
      <c r="X131" s="32" t="s">
        <v>527</v>
      </c>
    </row>
    <row r="132" spans="1:24" x14ac:dyDescent="0.25">
      <c r="A132" s="32">
        <v>131</v>
      </c>
      <c r="B132" s="32" t="s">
        <v>528</v>
      </c>
      <c r="C132" s="32" t="s">
        <v>17</v>
      </c>
      <c r="D132" s="32" t="s">
        <v>79</v>
      </c>
      <c r="E132" s="32" t="s">
        <v>32</v>
      </c>
      <c r="F132" s="32">
        <v>0</v>
      </c>
      <c r="G132" s="33">
        <v>93</v>
      </c>
      <c r="H132" s="33">
        <v>1179</v>
      </c>
      <c r="I132" s="34">
        <v>7.9000000000000001E-2</v>
      </c>
      <c r="J132" s="35">
        <v>46239</v>
      </c>
      <c r="K132" s="36">
        <v>46235</v>
      </c>
      <c r="L132" s="32" t="s">
        <v>80</v>
      </c>
      <c r="M132" s="32" t="s">
        <v>81</v>
      </c>
      <c r="N132" s="32" t="s">
        <v>529</v>
      </c>
      <c r="O132" s="32" t="s">
        <v>125</v>
      </c>
      <c r="P132" s="32" t="s">
        <v>84</v>
      </c>
      <c r="Q132" s="32" t="s">
        <v>137</v>
      </c>
      <c r="R132" s="32">
        <v>0</v>
      </c>
      <c r="S132" s="32">
        <v>1</v>
      </c>
      <c r="T132" s="32">
        <v>1</v>
      </c>
      <c r="U132" s="32">
        <v>0</v>
      </c>
      <c r="V132" s="32" t="s">
        <v>96</v>
      </c>
      <c r="W132" s="32" t="s">
        <v>530</v>
      </c>
      <c r="X132" s="32" t="s">
        <v>531</v>
      </c>
    </row>
    <row r="133" spans="1:24" x14ac:dyDescent="0.25">
      <c r="A133" s="32">
        <v>132</v>
      </c>
      <c r="B133" s="32" t="s">
        <v>532</v>
      </c>
      <c r="C133" s="32" t="s">
        <v>29</v>
      </c>
      <c r="D133" s="32" t="s">
        <v>79</v>
      </c>
      <c r="E133" s="32" t="s">
        <v>36</v>
      </c>
      <c r="F133" s="32">
        <v>0</v>
      </c>
      <c r="G133" s="33">
        <v>500</v>
      </c>
      <c r="H133" s="33">
        <v>25000</v>
      </c>
      <c r="I133" s="34">
        <v>0.02</v>
      </c>
      <c r="J133" s="35">
        <v>46219</v>
      </c>
      <c r="K133" s="36">
        <v>46204</v>
      </c>
      <c r="L133" s="32" t="s">
        <v>80</v>
      </c>
      <c r="M133" s="32" t="s">
        <v>123</v>
      </c>
      <c r="N133" s="32" t="s">
        <v>124</v>
      </c>
      <c r="O133" s="32" t="s">
        <v>83</v>
      </c>
      <c r="P133" s="32" t="s">
        <v>101</v>
      </c>
      <c r="Q133" s="32" t="s">
        <v>85</v>
      </c>
      <c r="R133" s="32">
        <v>0</v>
      </c>
      <c r="S133" s="32">
        <v>1</v>
      </c>
      <c r="T133" s="32">
        <v>1</v>
      </c>
      <c r="U133" s="32">
        <v>0</v>
      </c>
      <c r="V133" s="32" t="s">
        <v>96</v>
      </c>
      <c r="W133" s="32" t="s">
        <v>533</v>
      </c>
      <c r="X133" s="32" t="s">
        <v>534</v>
      </c>
    </row>
    <row r="134" spans="1:24" x14ac:dyDescent="0.25">
      <c r="A134" s="32">
        <v>133</v>
      </c>
      <c r="B134" s="32" t="s">
        <v>535</v>
      </c>
      <c r="C134" s="32" t="s">
        <v>33</v>
      </c>
      <c r="D134" s="32" t="s">
        <v>90</v>
      </c>
      <c r="E134" s="32" t="s">
        <v>32</v>
      </c>
      <c r="F134" s="32">
        <v>0</v>
      </c>
      <c r="G134" s="33">
        <v>200</v>
      </c>
      <c r="H134" s="33">
        <v>600</v>
      </c>
      <c r="I134" s="34">
        <v>0.33299999999999991</v>
      </c>
      <c r="J134" s="35">
        <v>46092</v>
      </c>
      <c r="K134" s="36">
        <v>46082</v>
      </c>
      <c r="L134" s="32" t="s">
        <v>80</v>
      </c>
      <c r="M134" s="32" t="s">
        <v>106</v>
      </c>
      <c r="N134" s="32" t="s">
        <v>206</v>
      </c>
      <c r="O134" s="32" t="s">
        <v>93</v>
      </c>
      <c r="P134" s="32" t="s">
        <v>94</v>
      </c>
      <c r="Q134" s="32" t="s">
        <v>95</v>
      </c>
      <c r="R134" s="32">
        <v>0</v>
      </c>
      <c r="S134" s="32">
        <v>1</v>
      </c>
      <c r="T134" s="32">
        <v>1</v>
      </c>
      <c r="U134" s="32">
        <v>0</v>
      </c>
      <c r="V134" s="32" t="s">
        <v>96</v>
      </c>
      <c r="W134" s="32" t="s">
        <v>431</v>
      </c>
      <c r="X134" s="32" t="s">
        <v>432</v>
      </c>
    </row>
    <row r="135" spans="1:24" x14ac:dyDescent="0.25">
      <c r="A135" s="32">
        <v>134</v>
      </c>
      <c r="B135" s="32" t="s">
        <v>536</v>
      </c>
      <c r="C135" s="32" t="s">
        <v>33</v>
      </c>
      <c r="D135" s="32" t="s">
        <v>90</v>
      </c>
      <c r="E135" s="32" t="s">
        <v>34</v>
      </c>
      <c r="F135" s="32">
        <v>0</v>
      </c>
      <c r="G135" s="33">
        <v>1000</v>
      </c>
      <c r="H135" s="33">
        <v>5000</v>
      </c>
      <c r="I135" s="34">
        <v>0.2</v>
      </c>
      <c r="J135" s="35">
        <v>46105</v>
      </c>
      <c r="K135" s="36">
        <v>46082</v>
      </c>
      <c r="L135" s="32" t="s">
        <v>80</v>
      </c>
      <c r="M135" s="32" t="s">
        <v>106</v>
      </c>
      <c r="N135" s="32" t="s">
        <v>537</v>
      </c>
      <c r="O135" s="32" t="s">
        <v>125</v>
      </c>
      <c r="P135" s="32" t="s">
        <v>119</v>
      </c>
      <c r="Q135" s="32" t="s">
        <v>102</v>
      </c>
      <c r="R135" s="32">
        <v>0</v>
      </c>
      <c r="S135" s="32">
        <v>1</v>
      </c>
      <c r="T135" s="32">
        <v>1</v>
      </c>
      <c r="U135" s="32">
        <v>0</v>
      </c>
      <c r="V135" s="32" t="s">
        <v>96</v>
      </c>
      <c r="W135" s="32" t="s">
        <v>538</v>
      </c>
      <c r="X135" s="32" t="s">
        <v>539</v>
      </c>
    </row>
    <row r="136" spans="1:24" x14ac:dyDescent="0.25">
      <c r="A136" s="32">
        <v>135</v>
      </c>
      <c r="B136" s="32" t="s">
        <v>540</v>
      </c>
      <c r="C136" s="32" t="s">
        <v>35</v>
      </c>
      <c r="D136" s="32" t="s">
        <v>90</v>
      </c>
      <c r="E136" s="32" t="s">
        <v>34</v>
      </c>
      <c r="F136" s="32">
        <v>0</v>
      </c>
      <c r="G136" s="33">
        <v>1600</v>
      </c>
      <c r="H136" s="33">
        <v>12600</v>
      </c>
      <c r="I136" s="34">
        <v>0.127</v>
      </c>
      <c r="J136" s="35">
        <v>46037</v>
      </c>
      <c r="K136" s="36">
        <v>46023</v>
      </c>
      <c r="L136" s="32" t="s">
        <v>80</v>
      </c>
      <c r="M136" s="32" t="s">
        <v>100</v>
      </c>
      <c r="N136" s="32" t="s">
        <v>541</v>
      </c>
      <c r="O136" s="32" t="s">
        <v>83</v>
      </c>
      <c r="P136" s="32" t="s">
        <v>119</v>
      </c>
      <c r="Q136" s="32" t="s">
        <v>102</v>
      </c>
      <c r="R136" s="32">
        <v>0</v>
      </c>
      <c r="S136" s="32">
        <v>1</v>
      </c>
      <c r="T136" s="32">
        <v>1</v>
      </c>
      <c r="U136" s="32">
        <v>0</v>
      </c>
      <c r="V136" s="32" t="s">
        <v>96</v>
      </c>
      <c r="W136" s="32" t="s">
        <v>207</v>
      </c>
      <c r="X136" s="32" t="s">
        <v>542</v>
      </c>
    </row>
    <row r="137" spans="1:24" x14ac:dyDescent="0.25">
      <c r="A137" s="32">
        <v>136</v>
      </c>
      <c r="B137" s="32" t="s">
        <v>543</v>
      </c>
      <c r="C137" s="32" t="s">
        <v>31</v>
      </c>
      <c r="D137" s="32" t="s">
        <v>79</v>
      </c>
      <c r="E137" s="32" t="s">
        <v>32</v>
      </c>
      <c r="F137" s="32">
        <v>0</v>
      </c>
      <c r="G137" s="33">
        <v>1175</v>
      </c>
      <c r="H137" s="33">
        <v>2500</v>
      </c>
      <c r="I137" s="34">
        <v>0.47</v>
      </c>
      <c r="J137" s="35">
        <v>46238</v>
      </c>
      <c r="K137" s="36">
        <v>46235</v>
      </c>
      <c r="L137" s="32" t="s">
        <v>80</v>
      </c>
      <c r="M137" s="32" t="s">
        <v>81</v>
      </c>
      <c r="N137" s="32" t="s">
        <v>544</v>
      </c>
      <c r="O137" s="32" t="s">
        <v>125</v>
      </c>
      <c r="P137" s="32" t="s">
        <v>94</v>
      </c>
      <c r="Q137" s="32" t="s">
        <v>102</v>
      </c>
      <c r="R137" s="32">
        <v>0</v>
      </c>
      <c r="S137" s="32">
        <v>1</v>
      </c>
      <c r="T137" s="32">
        <v>1</v>
      </c>
      <c r="U137" s="32">
        <v>0</v>
      </c>
      <c r="V137" s="32" t="s">
        <v>96</v>
      </c>
      <c r="W137" s="32" t="s">
        <v>545</v>
      </c>
      <c r="X137" s="32" t="s">
        <v>546</v>
      </c>
    </row>
    <row r="138" spans="1:24" x14ac:dyDescent="0.25">
      <c r="A138" s="32">
        <v>137</v>
      </c>
      <c r="B138" s="32" t="s">
        <v>547</v>
      </c>
      <c r="C138" s="32" t="s">
        <v>5</v>
      </c>
      <c r="D138" s="32" t="s">
        <v>90</v>
      </c>
      <c r="E138" s="32" t="s">
        <v>32</v>
      </c>
      <c r="F138" s="32">
        <v>0</v>
      </c>
      <c r="G138" s="33">
        <v>54</v>
      </c>
      <c r="H138" s="33">
        <v>270</v>
      </c>
      <c r="I138" s="34">
        <v>0.2</v>
      </c>
      <c r="J138" s="35">
        <v>46196</v>
      </c>
      <c r="K138" s="36">
        <v>46174</v>
      </c>
      <c r="L138" s="32" t="s">
        <v>80</v>
      </c>
      <c r="M138" s="32" t="s">
        <v>194</v>
      </c>
      <c r="N138" s="32" t="s">
        <v>548</v>
      </c>
      <c r="O138" s="32" t="s">
        <v>93</v>
      </c>
      <c r="P138" s="32" t="s">
        <v>119</v>
      </c>
      <c r="Q138" s="32" t="s">
        <v>137</v>
      </c>
      <c r="R138" s="32">
        <v>0</v>
      </c>
      <c r="S138" s="32">
        <v>1</v>
      </c>
      <c r="T138" s="32">
        <v>1</v>
      </c>
      <c r="U138" s="32">
        <v>0</v>
      </c>
      <c r="V138" s="32" t="s">
        <v>96</v>
      </c>
      <c r="W138" s="32" t="s">
        <v>549</v>
      </c>
      <c r="X138" s="32" t="s">
        <v>550</v>
      </c>
    </row>
    <row r="139" spans="1:24" x14ac:dyDescent="0.25">
      <c r="A139" s="32">
        <v>138</v>
      </c>
      <c r="B139" s="32" t="s">
        <v>551</v>
      </c>
      <c r="C139" s="32" t="s">
        <v>33</v>
      </c>
      <c r="D139" s="32" t="s">
        <v>90</v>
      </c>
      <c r="E139" s="32" t="s">
        <v>32</v>
      </c>
      <c r="F139" s="32">
        <v>0</v>
      </c>
      <c r="G139" s="33">
        <v>220</v>
      </c>
      <c r="H139" s="33">
        <v>1820</v>
      </c>
      <c r="I139" s="34">
        <v>0.121</v>
      </c>
      <c r="J139" s="35">
        <v>46239</v>
      </c>
      <c r="K139" s="36">
        <v>46235</v>
      </c>
      <c r="L139" s="32" t="s">
        <v>80</v>
      </c>
      <c r="M139" s="32" t="s">
        <v>81</v>
      </c>
      <c r="N139" s="32" t="s">
        <v>529</v>
      </c>
      <c r="O139" s="32" t="s">
        <v>125</v>
      </c>
      <c r="P139" s="32" t="s">
        <v>119</v>
      </c>
      <c r="Q139" s="32" t="s">
        <v>95</v>
      </c>
      <c r="R139" s="32">
        <v>0</v>
      </c>
      <c r="S139" s="32">
        <v>1</v>
      </c>
      <c r="T139" s="32">
        <v>1</v>
      </c>
      <c r="U139" s="32">
        <v>0</v>
      </c>
      <c r="V139" s="32" t="s">
        <v>96</v>
      </c>
      <c r="W139" s="32" t="s">
        <v>142</v>
      </c>
      <c r="X139" s="32" t="s">
        <v>552</v>
      </c>
    </row>
    <row r="140" spans="1:24" x14ac:dyDescent="0.25">
      <c r="A140" s="32">
        <v>139</v>
      </c>
      <c r="B140" s="32" t="s">
        <v>553</v>
      </c>
      <c r="C140" s="32" t="s">
        <v>20</v>
      </c>
      <c r="D140" s="32" t="s">
        <v>79</v>
      </c>
      <c r="E140" s="32" t="s">
        <v>32</v>
      </c>
      <c r="F140" s="32">
        <v>0</v>
      </c>
      <c r="G140" s="33">
        <v>3200</v>
      </c>
      <c r="H140" s="33">
        <v>33000</v>
      </c>
      <c r="I140" s="34">
        <v>9.6999999999999906E-2</v>
      </c>
      <c r="J140" s="35">
        <v>46191</v>
      </c>
      <c r="K140" s="36">
        <v>46174</v>
      </c>
      <c r="L140" s="32" t="s">
        <v>80</v>
      </c>
      <c r="M140" s="32" t="s">
        <v>194</v>
      </c>
      <c r="N140" s="32" t="s">
        <v>554</v>
      </c>
      <c r="O140" s="32" t="s">
        <v>83</v>
      </c>
      <c r="P140" s="32" t="s">
        <v>84</v>
      </c>
      <c r="Q140" s="32" t="s">
        <v>102</v>
      </c>
      <c r="R140" s="32">
        <v>0</v>
      </c>
      <c r="S140" s="32">
        <v>1</v>
      </c>
      <c r="T140" s="32">
        <v>1</v>
      </c>
      <c r="U140" s="32">
        <v>0</v>
      </c>
      <c r="V140" s="32" t="s">
        <v>96</v>
      </c>
      <c r="W140" s="32" t="s">
        <v>477</v>
      </c>
      <c r="X140" s="32" t="s">
        <v>555</v>
      </c>
    </row>
    <row r="141" spans="1:24" x14ac:dyDescent="0.25">
      <c r="A141" s="32">
        <v>140</v>
      </c>
      <c r="B141" s="32" t="s">
        <v>556</v>
      </c>
      <c r="C141" s="32" t="s">
        <v>17</v>
      </c>
      <c r="D141" s="32" t="s">
        <v>79</v>
      </c>
      <c r="E141" s="32" t="s">
        <v>32</v>
      </c>
      <c r="F141" s="32">
        <v>0</v>
      </c>
      <c r="G141" s="33">
        <v>800</v>
      </c>
      <c r="H141" s="33">
        <v>5000</v>
      </c>
      <c r="I141" s="34">
        <v>0.16</v>
      </c>
      <c r="J141" s="35">
        <v>46091</v>
      </c>
      <c r="K141" s="36">
        <v>46082</v>
      </c>
      <c r="L141" s="32" t="s">
        <v>80</v>
      </c>
      <c r="M141" s="32" t="s">
        <v>106</v>
      </c>
      <c r="N141" s="32" t="s">
        <v>520</v>
      </c>
      <c r="O141" s="32" t="s">
        <v>125</v>
      </c>
      <c r="P141" s="32" t="s">
        <v>119</v>
      </c>
      <c r="Q141" s="32" t="s">
        <v>85</v>
      </c>
      <c r="R141" s="32">
        <v>0</v>
      </c>
      <c r="S141" s="32">
        <v>1</v>
      </c>
      <c r="T141" s="32">
        <v>1</v>
      </c>
      <c r="U141" s="32">
        <v>0</v>
      </c>
      <c r="V141" s="32" t="s">
        <v>96</v>
      </c>
      <c r="W141" s="32" t="s">
        <v>138</v>
      </c>
      <c r="X141" s="32" t="s">
        <v>139</v>
      </c>
    </row>
    <row r="142" spans="1:24" x14ac:dyDescent="0.25">
      <c r="A142" s="32">
        <v>141</v>
      </c>
      <c r="B142" s="32" t="s">
        <v>557</v>
      </c>
      <c r="C142" s="32" t="s">
        <v>33</v>
      </c>
      <c r="D142" s="32" t="s">
        <v>90</v>
      </c>
      <c r="E142" s="32" t="s">
        <v>32</v>
      </c>
      <c r="F142" s="32">
        <v>0</v>
      </c>
      <c r="G142" s="33">
        <v>58</v>
      </c>
      <c r="H142" s="33">
        <v>16000</v>
      </c>
      <c r="I142" s="34">
        <v>4.0000000000000001E-3</v>
      </c>
      <c r="J142" s="35">
        <v>46287</v>
      </c>
      <c r="K142" s="36">
        <v>46266</v>
      </c>
      <c r="L142" s="32" t="s">
        <v>80</v>
      </c>
      <c r="M142" s="32" t="s">
        <v>151</v>
      </c>
      <c r="N142" s="32" t="s">
        <v>310</v>
      </c>
      <c r="O142" s="32" t="s">
        <v>83</v>
      </c>
      <c r="P142" s="32" t="s">
        <v>101</v>
      </c>
      <c r="Q142" s="32" t="s">
        <v>137</v>
      </c>
      <c r="R142" s="32">
        <v>0</v>
      </c>
      <c r="S142" s="32">
        <v>1</v>
      </c>
      <c r="T142" s="32">
        <v>1</v>
      </c>
      <c r="U142" s="32">
        <v>0</v>
      </c>
      <c r="V142" s="32" t="s">
        <v>96</v>
      </c>
      <c r="W142" s="32" t="s">
        <v>149</v>
      </c>
      <c r="X142" s="32" t="s">
        <v>558</v>
      </c>
    </row>
    <row r="143" spans="1:24" x14ac:dyDescent="0.25">
      <c r="A143" s="32">
        <v>142</v>
      </c>
      <c r="B143" s="32" t="s">
        <v>559</v>
      </c>
      <c r="C143" s="32" t="s">
        <v>2</v>
      </c>
      <c r="D143" s="32" t="s">
        <v>79</v>
      </c>
      <c r="E143" s="32" t="s">
        <v>32</v>
      </c>
      <c r="F143" s="32">
        <v>0</v>
      </c>
      <c r="G143" s="33">
        <v>230</v>
      </c>
      <c r="H143" s="33">
        <v>19000</v>
      </c>
      <c r="I143" s="34">
        <v>1.2E-2</v>
      </c>
      <c r="J143" s="35">
        <v>46182</v>
      </c>
      <c r="K143" s="36">
        <v>46174</v>
      </c>
      <c r="L143" s="32" t="s">
        <v>80</v>
      </c>
      <c r="M143" s="32" t="s">
        <v>194</v>
      </c>
      <c r="N143" s="32" t="s">
        <v>560</v>
      </c>
      <c r="O143" s="32" t="s">
        <v>83</v>
      </c>
      <c r="P143" s="32" t="s">
        <v>101</v>
      </c>
      <c r="Q143" s="32" t="s">
        <v>95</v>
      </c>
      <c r="R143" s="32">
        <v>0</v>
      </c>
      <c r="S143" s="32">
        <v>1</v>
      </c>
      <c r="T143" s="32">
        <v>1</v>
      </c>
      <c r="U143" s="32">
        <v>0</v>
      </c>
      <c r="V143" s="32" t="s">
        <v>96</v>
      </c>
      <c r="W143" s="32" t="s">
        <v>149</v>
      </c>
      <c r="X143" s="32" t="s">
        <v>561</v>
      </c>
    </row>
    <row r="144" spans="1:24" x14ac:dyDescent="0.25">
      <c r="A144" s="32">
        <v>143</v>
      </c>
      <c r="B144" s="32" t="s">
        <v>562</v>
      </c>
      <c r="C144" s="32" t="s">
        <v>5</v>
      </c>
      <c r="D144" s="32" t="s">
        <v>90</v>
      </c>
      <c r="E144" s="32" t="s">
        <v>32</v>
      </c>
      <c r="F144" s="32">
        <v>0</v>
      </c>
      <c r="G144" s="33">
        <v>69</v>
      </c>
      <c r="H144" s="33">
        <v>630</v>
      </c>
      <c r="I144" s="34">
        <v>0.11</v>
      </c>
      <c r="J144" s="35">
        <v>46237</v>
      </c>
      <c r="K144" s="36">
        <v>46235</v>
      </c>
      <c r="L144" s="32" t="s">
        <v>80</v>
      </c>
      <c r="M144" s="32" t="s">
        <v>81</v>
      </c>
      <c r="N144" s="32" t="s">
        <v>563</v>
      </c>
      <c r="O144" s="32" t="s">
        <v>93</v>
      </c>
      <c r="P144" s="32" t="s">
        <v>119</v>
      </c>
      <c r="Q144" s="32" t="s">
        <v>137</v>
      </c>
      <c r="R144" s="32">
        <v>0</v>
      </c>
      <c r="S144" s="32">
        <v>1</v>
      </c>
      <c r="T144" s="32">
        <v>1</v>
      </c>
      <c r="U144" s="32">
        <v>0</v>
      </c>
      <c r="V144" s="32" t="s">
        <v>96</v>
      </c>
      <c r="W144" s="32" t="s">
        <v>564</v>
      </c>
      <c r="X144" s="32" t="s">
        <v>565</v>
      </c>
    </row>
    <row r="145" spans="1:24" x14ac:dyDescent="0.25">
      <c r="A145" s="32">
        <v>144</v>
      </c>
      <c r="B145" s="32" t="s">
        <v>566</v>
      </c>
      <c r="C145" s="32" t="s">
        <v>31</v>
      </c>
      <c r="D145" s="32" t="s">
        <v>79</v>
      </c>
      <c r="E145" s="32" t="s">
        <v>32</v>
      </c>
      <c r="F145" s="32">
        <v>0</v>
      </c>
      <c r="G145" s="33">
        <v>373</v>
      </c>
      <c r="H145" s="33">
        <v>59330</v>
      </c>
      <c r="I145" s="34">
        <v>6.0000000000000001E-3</v>
      </c>
      <c r="J145" s="35">
        <v>46099</v>
      </c>
      <c r="K145" s="36">
        <v>46082</v>
      </c>
      <c r="L145" s="32" t="s">
        <v>80</v>
      </c>
      <c r="M145" s="32" t="s">
        <v>106</v>
      </c>
      <c r="N145" s="32" t="s">
        <v>567</v>
      </c>
      <c r="O145" s="32" t="s">
        <v>160</v>
      </c>
      <c r="P145" s="32" t="s">
        <v>101</v>
      </c>
      <c r="Q145" s="32" t="s">
        <v>95</v>
      </c>
      <c r="R145" s="32">
        <v>0</v>
      </c>
      <c r="S145" s="32">
        <v>1</v>
      </c>
      <c r="T145" s="32">
        <v>1</v>
      </c>
      <c r="U145" s="32">
        <v>0</v>
      </c>
      <c r="V145" s="32" t="s">
        <v>96</v>
      </c>
      <c r="W145" s="32" t="s">
        <v>568</v>
      </c>
      <c r="X145" s="32" t="s">
        <v>569</v>
      </c>
    </row>
    <row r="146" spans="1:24" x14ac:dyDescent="0.25">
      <c r="A146" s="32">
        <v>145</v>
      </c>
      <c r="B146" s="32" t="s">
        <v>570</v>
      </c>
      <c r="C146" s="32" t="s">
        <v>29</v>
      </c>
      <c r="D146" s="32" t="s">
        <v>79</v>
      </c>
      <c r="E146" s="32" t="s">
        <v>32</v>
      </c>
      <c r="F146" s="32">
        <v>0</v>
      </c>
      <c r="G146" s="33">
        <v>300</v>
      </c>
      <c r="H146" s="33">
        <v>5000</v>
      </c>
      <c r="I146" s="34">
        <v>0.06</v>
      </c>
      <c r="J146" s="35">
        <v>46179</v>
      </c>
      <c r="K146" s="36">
        <v>46174</v>
      </c>
      <c r="L146" s="32" t="s">
        <v>80</v>
      </c>
      <c r="M146" s="32" t="s">
        <v>194</v>
      </c>
      <c r="N146" s="32" t="s">
        <v>571</v>
      </c>
      <c r="O146" s="32" t="s">
        <v>125</v>
      </c>
      <c r="P146" s="32" t="s">
        <v>84</v>
      </c>
      <c r="Q146" s="32" t="s">
        <v>95</v>
      </c>
      <c r="R146" s="32">
        <v>0</v>
      </c>
      <c r="S146" s="32">
        <v>1</v>
      </c>
      <c r="T146" s="32">
        <v>1</v>
      </c>
      <c r="U146" s="32">
        <v>0</v>
      </c>
      <c r="V146" s="32" t="s">
        <v>96</v>
      </c>
      <c r="W146" s="32" t="s">
        <v>572</v>
      </c>
      <c r="X146" s="32" t="s">
        <v>573</v>
      </c>
    </row>
    <row r="147" spans="1:24" x14ac:dyDescent="0.25">
      <c r="A147" s="32">
        <v>146</v>
      </c>
      <c r="B147" s="32" t="s">
        <v>574</v>
      </c>
      <c r="C147" s="32" t="s">
        <v>2</v>
      </c>
      <c r="D147" s="32" t="s">
        <v>79</v>
      </c>
      <c r="E147" s="32" t="s">
        <v>32</v>
      </c>
      <c r="F147" s="32">
        <v>0</v>
      </c>
      <c r="G147" s="33">
        <v>856</v>
      </c>
      <c r="H147" s="33">
        <v>550000</v>
      </c>
      <c r="I147" s="34">
        <v>2E-3</v>
      </c>
      <c r="J147" s="35">
        <v>46023</v>
      </c>
      <c r="K147" s="36">
        <v>46023</v>
      </c>
      <c r="L147" s="32" t="s">
        <v>25</v>
      </c>
      <c r="M147" s="32" t="s">
        <v>100</v>
      </c>
      <c r="N147" s="32" t="s">
        <v>100</v>
      </c>
      <c r="O147" s="32" t="s">
        <v>113</v>
      </c>
      <c r="P147" s="32" t="s">
        <v>101</v>
      </c>
      <c r="Q147" s="32" t="s">
        <v>85</v>
      </c>
      <c r="R147" s="32">
        <v>0</v>
      </c>
      <c r="S147" s="32">
        <v>1</v>
      </c>
      <c r="T147" s="32">
        <v>2</v>
      </c>
      <c r="U147" s="32">
        <v>1</v>
      </c>
      <c r="V147" s="32" t="s">
        <v>96</v>
      </c>
      <c r="W147" s="32" t="s">
        <v>575</v>
      </c>
      <c r="X147" s="32" t="s">
        <v>576</v>
      </c>
    </row>
    <row r="148" spans="1:24" x14ac:dyDescent="0.25">
      <c r="A148" s="32">
        <v>147</v>
      </c>
      <c r="B148" s="32" t="s">
        <v>574</v>
      </c>
      <c r="C148" s="32" t="s">
        <v>2</v>
      </c>
      <c r="D148" s="32" t="s">
        <v>79</v>
      </c>
      <c r="E148" s="32" t="s">
        <v>32</v>
      </c>
      <c r="F148" s="32">
        <v>0</v>
      </c>
      <c r="G148" s="33">
        <v>173</v>
      </c>
      <c r="H148" s="33">
        <v>530000</v>
      </c>
      <c r="I148" s="34">
        <v>0</v>
      </c>
      <c r="J148" s="35">
        <v>46249</v>
      </c>
      <c r="K148" s="36">
        <v>46235</v>
      </c>
      <c r="L148" s="32" t="s">
        <v>80</v>
      </c>
      <c r="M148" s="32" t="s">
        <v>81</v>
      </c>
      <c r="N148" s="32" t="s">
        <v>577</v>
      </c>
      <c r="O148" s="32" t="s">
        <v>113</v>
      </c>
      <c r="P148" s="32" t="s">
        <v>101</v>
      </c>
      <c r="Q148" s="32" t="s">
        <v>95</v>
      </c>
      <c r="R148" s="32">
        <v>0</v>
      </c>
      <c r="S148" s="32">
        <v>2</v>
      </c>
      <c r="T148" s="32">
        <v>2</v>
      </c>
      <c r="U148" s="32">
        <v>1</v>
      </c>
      <c r="V148" s="32" t="s">
        <v>96</v>
      </c>
      <c r="W148" s="32" t="s">
        <v>264</v>
      </c>
      <c r="X148" s="32" t="s">
        <v>578</v>
      </c>
    </row>
    <row r="149" spans="1:24" x14ac:dyDescent="0.25">
      <c r="A149" s="32">
        <v>148</v>
      </c>
      <c r="B149" s="32" t="s">
        <v>579</v>
      </c>
      <c r="C149" s="32" t="s">
        <v>15</v>
      </c>
      <c r="D149" s="32" t="s">
        <v>79</v>
      </c>
      <c r="E149" s="32" t="s">
        <v>32</v>
      </c>
      <c r="F149" s="32">
        <v>0</v>
      </c>
      <c r="G149" s="33">
        <v>800</v>
      </c>
      <c r="H149" s="33">
        <v>80000</v>
      </c>
      <c r="I149" s="34">
        <v>0.01</v>
      </c>
      <c r="J149" s="35">
        <v>46150</v>
      </c>
      <c r="K149" s="36">
        <v>46143</v>
      </c>
      <c r="L149" s="32" t="s">
        <v>80</v>
      </c>
      <c r="M149" s="32" t="s">
        <v>91</v>
      </c>
      <c r="N149" s="32" t="s">
        <v>427</v>
      </c>
      <c r="O149" s="32" t="s">
        <v>160</v>
      </c>
      <c r="P149" s="32" t="s">
        <v>101</v>
      </c>
      <c r="Q149" s="32" t="s">
        <v>85</v>
      </c>
      <c r="R149" s="32">
        <v>0</v>
      </c>
      <c r="S149" s="32">
        <v>1</v>
      </c>
      <c r="T149" s="32">
        <v>1</v>
      </c>
      <c r="U149" s="32">
        <v>0</v>
      </c>
      <c r="V149" s="32" t="s">
        <v>96</v>
      </c>
      <c r="W149" s="32" t="s">
        <v>580</v>
      </c>
      <c r="X149" s="32" t="s">
        <v>581</v>
      </c>
    </row>
    <row r="150" spans="1:24" x14ac:dyDescent="0.25">
      <c r="A150" s="32">
        <v>149</v>
      </c>
      <c r="B150" s="32" t="s">
        <v>582</v>
      </c>
      <c r="C150" s="32" t="s">
        <v>15</v>
      </c>
      <c r="D150" s="32" t="s">
        <v>79</v>
      </c>
      <c r="E150" s="32" t="s">
        <v>37</v>
      </c>
      <c r="F150" s="32">
        <v>0</v>
      </c>
      <c r="G150" s="33">
        <v>740</v>
      </c>
      <c r="H150" s="33">
        <v>27000</v>
      </c>
      <c r="I150" s="34">
        <v>2.7E-2</v>
      </c>
      <c r="J150" s="35">
        <v>46150</v>
      </c>
      <c r="K150" s="36">
        <v>46143</v>
      </c>
      <c r="L150" s="32" t="s">
        <v>80</v>
      </c>
      <c r="M150" s="32" t="s">
        <v>91</v>
      </c>
      <c r="N150" s="32" t="s">
        <v>427</v>
      </c>
      <c r="O150" s="32" t="s">
        <v>83</v>
      </c>
      <c r="P150" s="32" t="s">
        <v>101</v>
      </c>
      <c r="Q150" s="32" t="s">
        <v>85</v>
      </c>
      <c r="R150" s="32">
        <v>0</v>
      </c>
      <c r="S150" s="32">
        <v>1</v>
      </c>
      <c r="T150" s="32">
        <v>1</v>
      </c>
      <c r="U150" s="32">
        <v>0</v>
      </c>
      <c r="V150" s="32" t="s">
        <v>96</v>
      </c>
      <c r="W150" s="32" t="s">
        <v>583</v>
      </c>
      <c r="X150" s="32" t="s">
        <v>584</v>
      </c>
    </row>
    <row r="151" spans="1:24" x14ac:dyDescent="0.25">
      <c r="A151" s="32">
        <v>150</v>
      </c>
      <c r="B151" s="32" t="s">
        <v>585</v>
      </c>
      <c r="C151" s="32" t="s">
        <v>5</v>
      </c>
      <c r="D151" s="32" t="s">
        <v>90</v>
      </c>
      <c r="E151" s="32" t="s">
        <v>32</v>
      </c>
      <c r="F151" s="32">
        <v>0</v>
      </c>
      <c r="G151" s="33">
        <v>98</v>
      </c>
      <c r="H151" s="33">
        <v>38000</v>
      </c>
      <c r="I151" s="34">
        <v>3.0000000000000001E-3</v>
      </c>
      <c r="J151" s="35">
        <v>46276</v>
      </c>
      <c r="K151" s="36">
        <v>46266</v>
      </c>
      <c r="L151" s="32" t="s">
        <v>80</v>
      </c>
      <c r="M151" s="32" t="s">
        <v>151</v>
      </c>
      <c r="N151" s="32" t="s">
        <v>267</v>
      </c>
      <c r="O151" s="32" t="s">
        <v>83</v>
      </c>
      <c r="P151" s="32" t="s">
        <v>101</v>
      </c>
      <c r="Q151" s="32" t="s">
        <v>137</v>
      </c>
      <c r="R151" s="32">
        <v>0</v>
      </c>
      <c r="S151" s="32">
        <v>1</v>
      </c>
      <c r="T151" s="32">
        <v>1</v>
      </c>
      <c r="U151" s="32">
        <v>0</v>
      </c>
      <c r="V151" s="32" t="s">
        <v>96</v>
      </c>
      <c r="W151" s="32" t="s">
        <v>264</v>
      </c>
      <c r="X151" s="32" t="s">
        <v>586</v>
      </c>
    </row>
    <row r="152" spans="1:24" x14ac:dyDescent="0.25">
      <c r="A152" s="32">
        <v>151</v>
      </c>
      <c r="B152" s="32" t="s">
        <v>587</v>
      </c>
      <c r="C152" s="32" t="s">
        <v>33</v>
      </c>
      <c r="D152" s="32" t="s">
        <v>90</v>
      </c>
      <c r="E152" s="32" t="s">
        <v>32</v>
      </c>
      <c r="F152" s="32">
        <v>0</v>
      </c>
      <c r="G152" s="33">
        <v>500</v>
      </c>
      <c r="H152" s="33">
        <v>25000</v>
      </c>
      <c r="I152" s="34">
        <v>0.02</v>
      </c>
      <c r="J152" s="35">
        <v>46087</v>
      </c>
      <c r="K152" s="36">
        <v>46082</v>
      </c>
      <c r="L152" s="32" t="s">
        <v>80</v>
      </c>
      <c r="M152" s="32" t="s">
        <v>106</v>
      </c>
      <c r="N152" s="32" t="s">
        <v>430</v>
      </c>
      <c r="O152" s="32" t="s">
        <v>83</v>
      </c>
      <c r="P152" s="32" t="s">
        <v>101</v>
      </c>
      <c r="Q152" s="32" t="s">
        <v>85</v>
      </c>
      <c r="R152" s="32">
        <v>0</v>
      </c>
      <c r="S152" s="32">
        <v>1</v>
      </c>
      <c r="T152" s="32">
        <v>1</v>
      </c>
      <c r="U152" s="32">
        <v>0</v>
      </c>
      <c r="V152" s="32" t="s">
        <v>96</v>
      </c>
      <c r="W152" s="32" t="s">
        <v>431</v>
      </c>
      <c r="X152" s="32" t="s">
        <v>432</v>
      </c>
    </row>
    <row r="153" spans="1:24" x14ac:dyDescent="0.25">
      <c r="A153" s="32">
        <v>152</v>
      </c>
      <c r="B153" s="32" t="s">
        <v>588</v>
      </c>
      <c r="C153" s="32" t="s">
        <v>4</v>
      </c>
      <c r="D153" s="32" t="s">
        <v>79</v>
      </c>
      <c r="E153" s="32" t="s">
        <v>32</v>
      </c>
      <c r="F153" s="32">
        <v>0</v>
      </c>
      <c r="G153" s="33">
        <v>72</v>
      </c>
      <c r="H153" s="33">
        <v>1205</v>
      </c>
      <c r="I153" s="34">
        <v>0.06</v>
      </c>
      <c r="J153" s="35">
        <v>46248</v>
      </c>
      <c r="K153" s="36">
        <v>46235</v>
      </c>
      <c r="L153" s="32" t="s">
        <v>80</v>
      </c>
      <c r="M153" s="32" t="s">
        <v>81</v>
      </c>
      <c r="N153" s="32" t="s">
        <v>589</v>
      </c>
      <c r="O153" s="32" t="s">
        <v>125</v>
      </c>
      <c r="P153" s="32" t="s">
        <v>84</v>
      </c>
      <c r="Q153" s="32" t="s">
        <v>137</v>
      </c>
      <c r="R153" s="32">
        <v>0</v>
      </c>
      <c r="S153" s="32">
        <v>1</v>
      </c>
      <c r="T153" s="32">
        <v>1</v>
      </c>
      <c r="U153" s="32">
        <v>0</v>
      </c>
      <c r="V153" s="32" t="s">
        <v>86</v>
      </c>
      <c r="W153" s="32" t="s">
        <v>87</v>
      </c>
      <c r="X153" s="32" t="s">
        <v>322</v>
      </c>
    </row>
    <row r="154" spans="1:24" x14ac:dyDescent="0.25">
      <c r="A154" s="32">
        <v>153</v>
      </c>
      <c r="B154" s="32" t="s">
        <v>590</v>
      </c>
      <c r="C154" s="32" t="s">
        <v>4</v>
      </c>
      <c r="D154" s="32" t="s">
        <v>79</v>
      </c>
      <c r="E154" s="32" t="s">
        <v>32</v>
      </c>
      <c r="F154" s="32">
        <v>0</v>
      </c>
      <c r="G154" s="33">
        <v>185</v>
      </c>
      <c r="H154" s="33">
        <v>2000</v>
      </c>
      <c r="I154" s="34">
        <v>9.1999999999999998E-2</v>
      </c>
      <c r="J154" s="35">
        <v>46149</v>
      </c>
      <c r="K154" s="36">
        <v>46143</v>
      </c>
      <c r="L154" s="32" t="s">
        <v>80</v>
      </c>
      <c r="M154" s="32" t="s">
        <v>91</v>
      </c>
      <c r="N154" s="32" t="s">
        <v>227</v>
      </c>
      <c r="O154" s="32" t="s">
        <v>125</v>
      </c>
      <c r="P154" s="32" t="s">
        <v>84</v>
      </c>
      <c r="Q154" s="32" t="s">
        <v>95</v>
      </c>
      <c r="R154" s="32">
        <v>0</v>
      </c>
      <c r="S154" s="32">
        <v>1</v>
      </c>
      <c r="T154" s="32">
        <v>1</v>
      </c>
      <c r="U154" s="32">
        <v>0</v>
      </c>
      <c r="V154" s="32" t="s">
        <v>86</v>
      </c>
      <c r="W154" s="32" t="s">
        <v>591</v>
      </c>
      <c r="X154" s="32" t="s">
        <v>592</v>
      </c>
    </row>
    <row r="155" spans="1:24" x14ac:dyDescent="0.25">
      <c r="A155" s="32">
        <v>154</v>
      </c>
      <c r="B155" s="32" t="s">
        <v>593</v>
      </c>
      <c r="C155" s="32" t="s">
        <v>33</v>
      </c>
      <c r="D155" s="32" t="s">
        <v>90</v>
      </c>
      <c r="E155" s="32" t="s">
        <v>30</v>
      </c>
      <c r="F155" s="32">
        <v>1</v>
      </c>
      <c r="G155" s="33">
        <v>500</v>
      </c>
      <c r="H155" s="33">
        <v>4500</v>
      </c>
      <c r="I155" s="34">
        <v>0.111</v>
      </c>
      <c r="J155" s="35">
        <v>46147</v>
      </c>
      <c r="K155" s="36">
        <v>46143</v>
      </c>
      <c r="L155" s="32" t="s">
        <v>80</v>
      </c>
      <c r="M155" s="32" t="s">
        <v>91</v>
      </c>
      <c r="N155" s="32" t="s">
        <v>260</v>
      </c>
      <c r="O155" s="32" t="s">
        <v>125</v>
      </c>
      <c r="P155" s="32" t="s">
        <v>119</v>
      </c>
      <c r="Q155" s="32" t="s">
        <v>85</v>
      </c>
      <c r="R155" s="32">
        <v>0</v>
      </c>
      <c r="S155" s="32">
        <v>1</v>
      </c>
      <c r="T155" s="32">
        <v>1</v>
      </c>
      <c r="U155" s="32">
        <v>0</v>
      </c>
      <c r="V155" s="32" t="s">
        <v>96</v>
      </c>
      <c r="W155" s="32" t="s">
        <v>594</v>
      </c>
      <c r="X155" s="32" t="s">
        <v>595</v>
      </c>
    </row>
    <row r="156" spans="1:24" x14ac:dyDescent="0.25">
      <c r="A156" s="32">
        <v>155</v>
      </c>
      <c r="B156" s="32" t="s">
        <v>596</v>
      </c>
      <c r="C156" s="32" t="s">
        <v>31</v>
      </c>
      <c r="D156" s="32" t="s">
        <v>79</v>
      </c>
      <c r="E156" s="32" t="s">
        <v>32</v>
      </c>
      <c r="F156" s="32">
        <v>0</v>
      </c>
      <c r="G156" s="33">
        <v>214</v>
      </c>
      <c r="H156" s="33">
        <v>214</v>
      </c>
      <c r="I156" s="34">
        <v>1</v>
      </c>
      <c r="J156" s="35">
        <v>46289</v>
      </c>
      <c r="K156" s="36">
        <v>46266</v>
      </c>
      <c r="L156" s="32" t="s">
        <v>80</v>
      </c>
      <c r="M156" s="32" t="s">
        <v>151</v>
      </c>
      <c r="N156" s="32" t="s">
        <v>258</v>
      </c>
      <c r="O156" s="32" t="s">
        <v>93</v>
      </c>
      <c r="P156" s="32" t="s">
        <v>297</v>
      </c>
      <c r="Q156" s="32" t="s">
        <v>95</v>
      </c>
      <c r="R156" s="32">
        <v>1</v>
      </c>
      <c r="S156" s="32">
        <v>1</v>
      </c>
      <c r="T156" s="32">
        <v>1</v>
      </c>
      <c r="U156" s="32">
        <v>0</v>
      </c>
      <c r="V156" s="32" t="s">
        <v>96</v>
      </c>
      <c r="W156" s="32" t="s">
        <v>462</v>
      </c>
      <c r="X156" s="32" t="s">
        <v>597</v>
      </c>
    </row>
    <row r="157" spans="1:24" x14ac:dyDescent="0.25">
      <c r="A157" s="32">
        <v>156</v>
      </c>
      <c r="B157" s="32" t="s">
        <v>598</v>
      </c>
      <c r="C157" s="32" t="s">
        <v>33</v>
      </c>
      <c r="D157" s="32" t="s">
        <v>90</v>
      </c>
      <c r="E157" s="32" t="s">
        <v>32</v>
      </c>
      <c r="F157" s="32">
        <v>0</v>
      </c>
      <c r="G157" s="33">
        <v>270</v>
      </c>
      <c r="H157" s="33">
        <v>2700</v>
      </c>
      <c r="I157" s="34">
        <v>0.1</v>
      </c>
      <c r="J157" s="35">
        <v>46114</v>
      </c>
      <c r="K157" s="36">
        <v>46113</v>
      </c>
      <c r="L157" s="32" t="s">
        <v>80</v>
      </c>
      <c r="M157" s="32" t="s">
        <v>144</v>
      </c>
      <c r="N157" s="32" t="s">
        <v>507</v>
      </c>
      <c r="O157" s="32" t="s">
        <v>125</v>
      </c>
      <c r="P157" s="32" t="s">
        <v>119</v>
      </c>
      <c r="Q157" s="32" t="s">
        <v>95</v>
      </c>
      <c r="R157" s="32">
        <v>0</v>
      </c>
      <c r="S157" s="32">
        <v>1</v>
      </c>
      <c r="T157" s="32">
        <v>1</v>
      </c>
      <c r="U157" s="32">
        <v>0</v>
      </c>
      <c r="V157" s="32" t="s">
        <v>96</v>
      </c>
      <c r="W157" s="32" t="s">
        <v>599</v>
      </c>
      <c r="X157" s="32" t="s">
        <v>600</v>
      </c>
    </row>
    <row r="158" spans="1:24" x14ac:dyDescent="0.25">
      <c r="A158" s="32">
        <v>157</v>
      </c>
      <c r="B158" s="32" t="s">
        <v>601</v>
      </c>
      <c r="C158" s="32" t="s">
        <v>7</v>
      </c>
      <c r="D158" s="32" t="s">
        <v>79</v>
      </c>
      <c r="E158" s="32" t="s">
        <v>32</v>
      </c>
      <c r="F158" s="32">
        <v>0</v>
      </c>
      <c r="G158" s="33">
        <v>180</v>
      </c>
      <c r="H158" s="33">
        <v>2440</v>
      </c>
      <c r="I158" s="34">
        <v>7.3999999999999996E-2</v>
      </c>
      <c r="J158" s="35">
        <v>46262</v>
      </c>
      <c r="K158" s="36">
        <v>46235</v>
      </c>
      <c r="L158" s="32" t="s">
        <v>80</v>
      </c>
      <c r="M158" s="32" t="s">
        <v>81</v>
      </c>
      <c r="N158" s="32" t="s">
        <v>148</v>
      </c>
      <c r="O158" s="32" t="s">
        <v>125</v>
      </c>
      <c r="P158" s="32" t="s">
        <v>84</v>
      </c>
      <c r="Q158" s="32" t="s">
        <v>95</v>
      </c>
      <c r="R158" s="32">
        <v>0</v>
      </c>
      <c r="S158" s="32">
        <v>1</v>
      </c>
      <c r="T158" s="32">
        <v>1</v>
      </c>
      <c r="U158" s="32">
        <v>0</v>
      </c>
      <c r="V158" s="32" t="s">
        <v>96</v>
      </c>
      <c r="W158" s="32" t="s">
        <v>199</v>
      </c>
      <c r="X158" s="32" t="s">
        <v>602</v>
      </c>
    </row>
    <row r="159" spans="1:24" x14ac:dyDescent="0.25">
      <c r="A159" s="32">
        <v>158</v>
      </c>
      <c r="B159" s="32" t="s">
        <v>603</v>
      </c>
      <c r="C159" s="32" t="s">
        <v>17</v>
      </c>
      <c r="D159" s="32" t="s">
        <v>79</v>
      </c>
      <c r="E159" s="32" t="s">
        <v>34</v>
      </c>
      <c r="F159" s="32">
        <v>0</v>
      </c>
      <c r="G159" s="33">
        <v>650</v>
      </c>
      <c r="H159" s="33">
        <v>66841</v>
      </c>
      <c r="I159" s="34">
        <v>0.01</v>
      </c>
      <c r="J159" s="35">
        <v>46276</v>
      </c>
      <c r="K159" s="36">
        <v>46266</v>
      </c>
      <c r="L159" s="32" t="s">
        <v>80</v>
      </c>
      <c r="M159" s="32" t="s">
        <v>151</v>
      </c>
      <c r="N159" s="32" t="s">
        <v>267</v>
      </c>
      <c r="O159" s="32" t="s">
        <v>160</v>
      </c>
      <c r="P159" s="32" t="s">
        <v>101</v>
      </c>
      <c r="Q159" s="32" t="s">
        <v>85</v>
      </c>
      <c r="R159" s="32">
        <v>0</v>
      </c>
      <c r="S159" s="32">
        <v>1</v>
      </c>
      <c r="T159" s="32">
        <v>1</v>
      </c>
      <c r="U159" s="32">
        <v>0</v>
      </c>
      <c r="V159" s="32" t="s">
        <v>96</v>
      </c>
      <c r="W159" s="32" t="s">
        <v>191</v>
      </c>
      <c r="X159" s="32" t="s">
        <v>604</v>
      </c>
    </row>
    <row r="160" spans="1:24" x14ac:dyDescent="0.25">
      <c r="A160" s="32">
        <v>159</v>
      </c>
      <c r="B160" s="32" t="s">
        <v>605</v>
      </c>
      <c r="C160" s="32" t="s">
        <v>2</v>
      </c>
      <c r="D160" s="32" t="s">
        <v>79</v>
      </c>
      <c r="E160" s="32" t="s">
        <v>32</v>
      </c>
      <c r="F160" s="32">
        <v>0</v>
      </c>
      <c r="G160" s="33">
        <v>220</v>
      </c>
      <c r="H160" s="33">
        <v>154000</v>
      </c>
      <c r="I160" s="34">
        <v>1E-3</v>
      </c>
      <c r="J160" s="35">
        <v>46053</v>
      </c>
      <c r="K160" s="36">
        <v>46023</v>
      </c>
      <c r="L160" s="32" t="s">
        <v>80</v>
      </c>
      <c r="M160" s="32" t="s">
        <v>100</v>
      </c>
      <c r="N160" s="32" t="s">
        <v>606</v>
      </c>
      <c r="O160" s="32" t="s">
        <v>113</v>
      </c>
      <c r="P160" s="32" t="s">
        <v>101</v>
      </c>
      <c r="Q160" s="32" t="s">
        <v>95</v>
      </c>
      <c r="R160" s="32">
        <v>0</v>
      </c>
      <c r="S160" s="32">
        <v>1</v>
      </c>
      <c r="T160" s="32">
        <v>1</v>
      </c>
      <c r="U160" s="32">
        <v>0</v>
      </c>
      <c r="V160" s="32" t="s">
        <v>96</v>
      </c>
      <c r="W160" s="32" t="s">
        <v>607</v>
      </c>
      <c r="X160" s="32" t="s">
        <v>608</v>
      </c>
    </row>
    <row r="161" spans="1:24" x14ac:dyDescent="0.25">
      <c r="A161" s="32">
        <v>160</v>
      </c>
      <c r="B161" s="32" t="s">
        <v>609</v>
      </c>
      <c r="C161" s="32" t="s">
        <v>33</v>
      </c>
      <c r="D161" s="32" t="s">
        <v>90</v>
      </c>
      <c r="E161" s="32" t="s">
        <v>30</v>
      </c>
      <c r="F161" s="32">
        <v>1</v>
      </c>
      <c r="G161" s="33">
        <v>150</v>
      </c>
      <c r="H161" s="33">
        <v>600</v>
      </c>
      <c r="I161" s="34">
        <v>0.25</v>
      </c>
      <c r="J161" s="35">
        <v>46157</v>
      </c>
      <c r="K161" s="36">
        <v>46143</v>
      </c>
      <c r="L161" s="32" t="s">
        <v>80</v>
      </c>
      <c r="M161" s="32" t="s">
        <v>91</v>
      </c>
      <c r="N161" s="32" t="s">
        <v>202</v>
      </c>
      <c r="O161" s="32" t="s">
        <v>93</v>
      </c>
      <c r="P161" s="32" t="s">
        <v>94</v>
      </c>
      <c r="Q161" s="32" t="s">
        <v>95</v>
      </c>
      <c r="R161" s="32">
        <v>0</v>
      </c>
      <c r="S161" s="32">
        <v>1</v>
      </c>
      <c r="T161" s="32">
        <v>1</v>
      </c>
      <c r="U161" s="32">
        <v>0</v>
      </c>
      <c r="V161" s="32" t="s">
        <v>96</v>
      </c>
      <c r="W161" s="32" t="s">
        <v>610</v>
      </c>
      <c r="X161" s="32" t="s">
        <v>611</v>
      </c>
    </row>
    <row r="162" spans="1:24" x14ac:dyDescent="0.25">
      <c r="A162" s="32">
        <v>161</v>
      </c>
      <c r="B162" s="32" t="s">
        <v>612</v>
      </c>
      <c r="C162" s="32" t="s">
        <v>5</v>
      </c>
      <c r="D162" s="32" t="s">
        <v>90</v>
      </c>
      <c r="E162" s="32" t="s">
        <v>30</v>
      </c>
      <c r="F162" s="32">
        <v>1</v>
      </c>
      <c r="G162" s="33">
        <v>200</v>
      </c>
      <c r="H162" s="33">
        <v>800</v>
      </c>
      <c r="I162" s="34">
        <v>0.25</v>
      </c>
      <c r="J162" s="35">
        <v>46058</v>
      </c>
      <c r="K162" s="36">
        <v>46054</v>
      </c>
      <c r="L162" s="32" t="s">
        <v>80</v>
      </c>
      <c r="M162" s="32" t="s">
        <v>187</v>
      </c>
      <c r="N162" s="32" t="s">
        <v>613</v>
      </c>
      <c r="O162" s="32" t="s">
        <v>93</v>
      </c>
      <c r="P162" s="32" t="s">
        <v>94</v>
      </c>
      <c r="Q162" s="32" t="s">
        <v>95</v>
      </c>
      <c r="R162" s="32">
        <v>0</v>
      </c>
      <c r="S162" s="32">
        <v>1</v>
      </c>
      <c r="T162" s="32">
        <v>1</v>
      </c>
      <c r="U162" s="32">
        <v>0</v>
      </c>
      <c r="V162" s="32" t="s">
        <v>96</v>
      </c>
      <c r="W162" s="32" t="s">
        <v>207</v>
      </c>
      <c r="X162" s="32" t="s">
        <v>614</v>
      </c>
    </row>
    <row r="163" spans="1:24" x14ac:dyDescent="0.25">
      <c r="A163" s="32">
        <v>162</v>
      </c>
      <c r="B163" s="32" t="s">
        <v>615</v>
      </c>
      <c r="C163" s="32" t="s">
        <v>17</v>
      </c>
      <c r="D163" s="32" t="s">
        <v>79</v>
      </c>
      <c r="E163" s="32" t="s">
        <v>32</v>
      </c>
      <c r="F163" s="32">
        <v>0</v>
      </c>
      <c r="G163" s="33">
        <v>103</v>
      </c>
      <c r="H163" s="33">
        <v>13000</v>
      </c>
      <c r="I163" s="34">
        <v>8.0000000000000002E-3</v>
      </c>
      <c r="J163" s="35">
        <v>46204</v>
      </c>
      <c r="K163" s="36">
        <v>46204</v>
      </c>
      <c r="L163" s="32" t="s">
        <v>80</v>
      </c>
      <c r="M163" s="32" t="s">
        <v>123</v>
      </c>
      <c r="N163" s="32" t="s">
        <v>386</v>
      </c>
      <c r="O163" s="32" t="s">
        <v>83</v>
      </c>
      <c r="P163" s="32" t="s">
        <v>101</v>
      </c>
      <c r="Q163" s="32" t="s">
        <v>95</v>
      </c>
      <c r="R163" s="32">
        <v>0</v>
      </c>
      <c r="S163" s="32">
        <v>1</v>
      </c>
      <c r="T163" s="32">
        <v>1</v>
      </c>
      <c r="U163" s="32">
        <v>0</v>
      </c>
      <c r="V163" s="32" t="s">
        <v>96</v>
      </c>
      <c r="W163" s="32" t="s">
        <v>138</v>
      </c>
      <c r="X163" s="32" t="s">
        <v>616</v>
      </c>
    </row>
    <row r="164" spans="1:24" x14ac:dyDescent="0.25">
      <c r="A164" s="32">
        <v>163</v>
      </c>
      <c r="B164" s="32" t="s">
        <v>617</v>
      </c>
      <c r="C164" s="32" t="s">
        <v>33</v>
      </c>
      <c r="D164" s="32" t="s">
        <v>90</v>
      </c>
      <c r="E164" s="32" t="s">
        <v>34</v>
      </c>
      <c r="F164" s="32">
        <v>0</v>
      </c>
      <c r="G164" s="33">
        <v>410</v>
      </c>
      <c r="H164" s="33">
        <v>117000</v>
      </c>
      <c r="I164" s="34">
        <v>4.0000000000000001E-3</v>
      </c>
      <c r="J164" s="35">
        <v>46242</v>
      </c>
      <c r="K164" s="36">
        <v>46235</v>
      </c>
      <c r="L164" s="32" t="s">
        <v>80</v>
      </c>
      <c r="M164" s="32" t="s">
        <v>81</v>
      </c>
      <c r="N164" s="32" t="s">
        <v>618</v>
      </c>
      <c r="O164" s="32" t="s">
        <v>113</v>
      </c>
      <c r="P164" s="32" t="s">
        <v>101</v>
      </c>
      <c r="Q164" s="32" t="s">
        <v>95</v>
      </c>
      <c r="R164" s="32">
        <v>0</v>
      </c>
      <c r="S164" s="32">
        <v>1</v>
      </c>
      <c r="T164" s="32">
        <v>1</v>
      </c>
      <c r="U164" s="32">
        <v>0</v>
      </c>
      <c r="V164" s="32" t="s">
        <v>96</v>
      </c>
      <c r="W164" s="32" t="s">
        <v>188</v>
      </c>
      <c r="X164" s="32" t="s">
        <v>619</v>
      </c>
    </row>
    <row r="165" spans="1:24" x14ac:dyDescent="0.25">
      <c r="A165" s="32">
        <v>164</v>
      </c>
      <c r="B165" s="32" t="s">
        <v>620</v>
      </c>
      <c r="C165" s="32" t="s">
        <v>2</v>
      </c>
      <c r="D165" s="32" t="s">
        <v>79</v>
      </c>
      <c r="E165" s="32" t="s">
        <v>34</v>
      </c>
      <c r="F165" s="32">
        <v>0</v>
      </c>
      <c r="G165" s="33">
        <v>1140</v>
      </c>
      <c r="H165" s="33">
        <v>163000</v>
      </c>
      <c r="I165" s="34">
        <v>6.9999999999999004E-3</v>
      </c>
      <c r="J165" s="35">
        <v>46027</v>
      </c>
      <c r="K165" s="36">
        <v>46023</v>
      </c>
      <c r="L165" s="32" t="s">
        <v>80</v>
      </c>
      <c r="M165" s="32" t="s">
        <v>100</v>
      </c>
      <c r="N165" s="32" t="s">
        <v>621</v>
      </c>
      <c r="O165" s="32" t="s">
        <v>113</v>
      </c>
      <c r="P165" s="32" t="s">
        <v>101</v>
      </c>
      <c r="Q165" s="32" t="s">
        <v>102</v>
      </c>
      <c r="R165" s="32">
        <v>0</v>
      </c>
      <c r="S165" s="32">
        <v>1</v>
      </c>
      <c r="T165" s="32">
        <v>2</v>
      </c>
      <c r="U165" s="32">
        <v>1</v>
      </c>
      <c r="V165" s="32" t="s">
        <v>96</v>
      </c>
      <c r="W165" s="32" t="s">
        <v>575</v>
      </c>
      <c r="X165" s="32" t="s">
        <v>576</v>
      </c>
    </row>
    <row r="166" spans="1:24" x14ac:dyDescent="0.25">
      <c r="A166" s="32">
        <v>165</v>
      </c>
      <c r="B166" s="32" t="s">
        <v>620</v>
      </c>
      <c r="C166" s="32" t="s">
        <v>2</v>
      </c>
      <c r="D166" s="32" t="s">
        <v>79</v>
      </c>
      <c r="E166" s="32" t="s">
        <v>32</v>
      </c>
      <c r="F166" s="32">
        <v>0</v>
      </c>
      <c r="G166" s="33">
        <v>600</v>
      </c>
      <c r="H166" s="33">
        <v>163000</v>
      </c>
      <c r="I166" s="34">
        <v>4.0000000000000001E-3</v>
      </c>
      <c r="J166" s="35">
        <v>46153</v>
      </c>
      <c r="K166" s="36">
        <v>46143</v>
      </c>
      <c r="L166" s="32" t="s">
        <v>80</v>
      </c>
      <c r="M166" s="32" t="s">
        <v>91</v>
      </c>
      <c r="N166" s="32" t="s">
        <v>622</v>
      </c>
      <c r="O166" s="32" t="s">
        <v>113</v>
      </c>
      <c r="P166" s="32" t="s">
        <v>101</v>
      </c>
      <c r="Q166" s="32" t="s">
        <v>85</v>
      </c>
      <c r="R166" s="32">
        <v>0</v>
      </c>
      <c r="S166" s="32">
        <v>2</v>
      </c>
      <c r="T166" s="32">
        <v>2</v>
      </c>
      <c r="U166" s="32">
        <v>1</v>
      </c>
      <c r="V166" s="32" t="s">
        <v>96</v>
      </c>
      <c r="W166" s="32" t="s">
        <v>142</v>
      </c>
      <c r="X166" s="32" t="s">
        <v>623</v>
      </c>
    </row>
    <row r="167" spans="1:24" x14ac:dyDescent="0.25">
      <c r="A167" s="32">
        <v>166</v>
      </c>
      <c r="B167" s="32" t="s">
        <v>624</v>
      </c>
      <c r="C167" s="32" t="s">
        <v>20</v>
      </c>
      <c r="D167" s="32" t="s">
        <v>79</v>
      </c>
      <c r="E167" s="32" t="s">
        <v>34</v>
      </c>
      <c r="F167" s="32">
        <v>0</v>
      </c>
      <c r="G167" s="33">
        <v>120</v>
      </c>
      <c r="H167" s="33">
        <v>30000</v>
      </c>
      <c r="I167" s="34">
        <v>4.0000000000000001E-3</v>
      </c>
      <c r="J167" s="35">
        <v>46267</v>
      </c>
      <c r="K167" s="36">
        <v>46266</v>
      </c>
      <c r="L167" s="32" t="s">
        <v>80</v>
      </c>
      <c r="M167" s="32" t="s">
        <v>151</v>
      </c>
      <c r="N167" s="32" t="s">
        <v>337</v>
      </c>
      <c r="O167" s="32" t="s">
        <v>83</v>
      </c>
      <c r="P167" s="32" t="s">
        <v>101</v>
      </c>
      <c r="Q167" s="32" t="s">
        <v>95</v>
      </c>
      <c r="R167" s="32">
        <v>0</v>
      </c>
      <c r="S167" s="32">
        <v>1</v>
      </c>
      <c r="T167" s="32">
        <v>1</v>
      </c>
      <c r="U167" s="32">
        <v>0</v>
      </c>
      <c r="V167" s="32" t="s">
        <v>96</v>
      </c>
      <c r="W167" s="32" t="s">
        <v>625</v>
      </c>
      <c r="X167" s="32" t="s">
        <v>626</v>
      </c>
    </row>
    <row r="168" spans="1:24" x14ac:dyDescent="0.25">
      <c r="A168" s="32">
        <v>167</v>
      </c>
      <c r="B168" s="32" t="s">
        <v>627</v>
      </c>
      <c r="C168" s="32" t="s">
        <v>17</v>
      </c>
      <c r="D168" s="32" t="s">
        <v>79</v>
      </c>
      <c r="E168" s="32" t="s">
        <v>37</v>
      </c>
      <c r="F168" s="32">
        <v>0</v>
      </c>
      <c r="G168" s="33">
        <v>192</v>
      </c>
      <c r="H168" s="33">
        <v>209</v>
      </c>
      <c r="I168" s="34">
        <v>0.91900000000000004</v>
      </c>
      <c r="J168" s="35">
        <v>46148</v>
      </c>
      <c r="K168" s="36">
        <v>46143</v>
      </c>
      <c r="L168" s="32" t="s">
        <v>80</v>
      </c>
      <c r="M168" s="32" t="s">
        <v>91</v>
      </c>
      <c r="N168" s="32" t="s">
        <v>183</v>
      </c>
      <c r="O168" s="32" t="s">
        <v>93</v>
      </c>
      <c r="P168" s="32" t="s">
        <v>94</v>
      </c>
      <c r="Q168" s="32" t="s">
        <v>95</v>
      </c>
      <c r="R168" s="32">
        <v>0</v>
      </c>
      <c r="S168" s="32">
        <v>1</v>
      </c>
      <c r="T168" s="32">
        <v>1</v>
      </c>
      <c r="U168" s="32">
        <v>0</v>
      </c>
      <c r="V168" s="32" t="s">
        <v>96</v>
      </c>
      <c r="W168" s="32" t="s">
        <v>138</v>
      </c>
      <c r="X168" s="32" t="s">
        <v>628</v>
      </c>
    </row>
    <row r="169" spans="1:24" x14ac:dyDescent="0.25">
      <c r="A169" s="32">
        <v>168</v>
      </c>
      <c r="B169" s="32" t="s">
        <v>629</v>
      </c>
      <c r="C169" s="32" t="s">
        <v>33</v>
      </c>
      <c r="D169" s="32" t="s">
        <v>90</v>
      </c>
      <c r="E169" s="32" t="s">
        <v>32</v>
      </c>
      <c r="F169" s="32">
        <v>0</v>
      </c>
      <c r="G169" s="33">
        <v>361</v>
      </c>
      <c r="H169" s="33">
        <v>2580</v>
      </c>
      <c r="I169" s="34">
        <v>0.14000000000000001</v>
      </c>
      <c r="J169" s="35">
        <v>46174</v>
      </c>
      <c r="K169" s="36">
        <v>46174</v>
      </c>
      <c r="L169" s="32" t="s">
        <v>80</v>
      </c>
      <c r="M169" s="32" t="s">
        <v>194</v>
      </c>
      <c r="N169" s="32" t="s">
        <v>630</v>
      </c>
      <c r="O169" s="32" t="s">
        <v>125</v>
      </c>
      <c r="P169" s="32" t="s">
        <v>119</v>
      </c>
      <c r="Q169" s="32" t="s">
        <v>95</v>
      </c>
      <c r="R169" s="32">
        <v>0</v>
      </c>
      <c r="S169" s="32">
        <v>1</v>
      </c>
      <c r="T169" s="32">
        <v>1</v>
      </c>
      <c r="U169" s="32">
        <v>0</v>
      </c>
      <c r="V169" s="32" t="s">
        <v>631</v>
      </c>
      <c r="W169" s="32" t="s">
        <v>632</v>
      </c>
      <c r="X169" s="32" t="s">
        <v>633</v>
      </c>
    </row>
    <row r="170" spans="1:24" x14ac:dyDescent="0.25">
      <c r="A170" s="32">
        <v>169</v>
      </c>
      <c r="B170" s="32" t="s">
        <v>634</v>
      </c>
      <c r="C170" s="32" t="s">
        <v>31</v>
      </c>
      <c r="D170" s="32" t="s">
        <v>79</v>
      </c>
      <c r="E170" s="32" t="s">
        <v>32</v>
      </c>
      <c r="F170" s="32">
        <v>0</v>
      </c>
      <c r="G170" s="33">
        <v>98</v>
      </c>
      <c r="H170" s="33">
        <v>98</v>
      </c>
      <c r="I170" s="34">
        <v>1</v>
      </c>
      <c r="J170" s="35">
        <v>46149</v>
      </c>
      <c r="K170" s="36">
        <v>46143</v>
      </c>
      <c r="L170" s="32" t="s">
        <v>80</v>
      </c>
      <c r="M170" s="32" t="s">
        <v>91</v>
      </c>
      <c r="N170" s="32" t="s">
        <v>227</v>
      </c>
      <c r="O170" s="32" t="s">
        <v>93</v>
      </c>
      <c r="P170" s="32" t="s">
        <v>297</v>
      </c>
      <c r="Q170" s="32" t="s">
        <v>137</v>
      </c>
      <c r="R170" s="32">
        <v>1</v>
      </c>
      <c r="S170" s="32">
        <v>1</v>
      </c>
      <c r="T170" s="32">
        <v>1</v>
      </c>
      <c r="U170" s="32">
        <v>0</v>
      </c>
      <c r="V170" s="32" t="s">
        <v>86</v>
      </c>
      <c r="W170" s="32" t="s">
        <v>87</v>
      </c>
      <c r="X170" s="32" t="s">
        <v>635</v>
      </c>
    </row>
    <row r="171" spans="1:24" x14ac:dyDescent="0.25">
      <c r="A171" s="32">
        <v>170</v>
      </c>
      <c r="B171" s="32" t="s">
        <v>636</v>
      </c>
      <c r="C171" s="32" t="s">
        <v>33</v>
      </c>
      <c r="D171" s="32" t="s">
        <v>90</v>
      </c>
      <c r="E171" s="32" t="s">
        <v>30</v>
      </c>
      <c r="F171" s="32">
        <v>1</v>
      </c>
      <c r="G171" s="33">
        <v>20</v>
      </c>
      <c r="H171" s="33">
        <v>100</v>
      </c>
      <c r="I171" s="34">
        <v>0.2</v>
      </c>
      <c r="J171" s="35">
        <v>46083</v>
      </c>
      <c r="K171" s="36">
        <v>46082</v>
      </c>
      <c r="L171" s="32" t="s">
        <v>80</v>
      </c>
      <c r="M171" s="32" t="s">
        <v>106</v>
      </c>
      <c r="N171" s="32" t="s">
        <v>637</v>
      </c>
      <c r="O171" s="32" t="s">
        <v>93</v>
      </c>
      <c r="P171" s="32" t="s">
        <v>119</v>
      </c>
      <c r="Q171" s="32" t="s">
        <v>137</v>
      </c>
      <c r="R171" s="32">
        <v>0</v>
      </c>
      <c r="S171" s="32">
        <v>1</v>
      </c>
      <c r="T171" s="32">
        <v>1</v>
      </c>
      <c r="U171" s="32">
        <v>0</v>
      </c>
      <c r="V171" s="32" t="s">
        <v>96</v>
      </c>
      <c r="W171" s="32" t="s">
        <v>252</v>
      </c>
      <c r="X171" s="32" t="s">
        <v>638</v>
      </c>
    </row>
    <row r="172" spans="1:24" x14ac:dyDescent="0.25">
      <c r="A172" s="32">
        <v>171</v>
      </c>
      <c r="B172" s="32" t="s">
        <v>639</v>
      </c>
      <c r="C172" s="32" t="s">
        <v>4</v>
      </c>
      <c r="D172" s="32" t="s">
        <v>79</v>
      </c>
      <c r="E172" s="32" t="s">
        <v>32</v>
      </c>
      <c r="F172" s="32">
        <v>0</v>
      </c>
      <c r="G172" s="33">
        <v>750</v>
      </c>
      <c r="H172" s="33">
        <v>5000</v>
      </c>
      <c r="I172" s="34">
        <v>0.15</v>
      </c>
      <c r="J172" s="35">
        <v>46096</v>
      </c>
      <c r="K172" s="36">
        <v>46082</v>
      </c>
      <c r="L172" s="32" t="s">
        <v>80</v>
      </c>
      <c r="M172" s="32" t="s">
        <v>106</v>
      </c>
      <c r="N172" s="32" t="s">
        <v>640</v>
      </c>
      <c r="O172" s="32" t="s">
        <v>125</v>
      </c>
      <c r="P172" s="32" t="s">
        <v>119</v>
      </c>
      <c r="Q172" s="32" t="s">
        <v>85</v>
      </c>
      <c r="R172" s="32">
        <v>0</v>
      </c>
      <c r="S172" s="32">
        <v>1</v>
      </c>
      <c r="T172" s="32">
        <v>1</v>
      </c>
      <c r="U172" s="32">
        <v>0</v>
      </c>
      <c r="V172" s="32" t="s">
        <v>96</v>
      </c>
      <c r="W172" s="32" t="s">
        <v>641</v>
      </c>
      <c r="X172" s="32" t="s">
        <v>642</v>
      </c>
    </row>
    <row r="173" spans="1:24" x14ac:dyDescent="0.25">
      <c r="A173" s="32">
        <v>172</v>
      </c>
      <c r="B173" s="32" t="s">
        <v>643</v>
      </c>
      <c r="C173" s="32" t="s">
        <v>17</v>
      </c>
      <c r="D173" s="32" t="s">
        <v>79</v>
      </c>
      <c r="E173" s="32" t="s">
        <v>32</v>
      </c>
      <c r="F173" s="32">
        <v>0</v>
      </c>
      <c r="G173" s="33">
        <v>103</v>
      </c>
      <c r="H173" s="33">
        <v>850</v>
      </c>
      <c r="I173" s="34">
        <v>0.121</v>
      </c>
      <c r="J173" s="35">
        <v>46268</v>
      </c>
      <c r="K173" s="36">
        <v>46266</v>
      </c>
      <c r="L173" s="32" t="s">
        <v>80</v>
      </c>
      <c r="M173" s="32" t="s">
        <v>151</v>
      </c>
      <c r="N173" s="32" t="s">
        <v>350</v>
      </c>
      <c r="O173" s="32" t="s">
        <v>93</v>
      </c>
      <c r="P173" s="32" t="s">
        <v>119</v>
      </c>
      <c r="Q173" s="32" t="s">
        <v>95</v>
      </c>
      <c r="R173" s="32">
        <v>0</v>
      </c>
      <c r="S173" s="32">
        <v>1</v>
      </c>
      <c r="T173" s="32">
        <v>1</v>
      </c>
      <c r="U173" s="32">
        <v>0</v>
      </c>
      <c r="V173" s="32" t="s">
        <v>96</v>
      </c>
      <c r="W173" s="32" t="s">
        <v>644</v>
      </c>
      <c r="X173" s="32" t="s">
        <v>645</v>
      </c>
    </row>
    <row r="174" spans="1:24" x14ac:dyDescent="0.25">
      <c r="A174" s="32">
        <v>173</v>
      </c>
      <c r="B174" s="32" t="s">
        <v>646</v>
      </c>
      <c r="C174" s="32" t="s">
        <v>33</v>
      </c>
      <c r="D174" s="32" t="s">
        <v>90</v>
      </c>
      <c r="E174" s="32" t="s">
        <v>30</v>
      </c>
      <c r="F174" s="32">
        <v>1</v>
      </c>
      <c r="G174" s="33">
        <v>120</v>
      </c>
      <c r="H174" s="33">
        <v>600</v>
      </c>
      <c r="I174" s="34">
        <v>0.2</v>
      </c>
      <c r="J174" s="35">
        <v>46214</v>
      </c>
      <c r="K174" s="36">
        <v>46204</v>
      </c>
      <c r="L174" s="32" t="s">
        <v>80</v>
      </c>
      <c r="M174" s="32" t="s">
        <v>123</v>
      </c>
      <c r="N174" s="32" t="s">
        <v>647</v>
      </c>
      <c r="O174" s="32" t="s">
        <v>93</v>
      </c>
      <c r="P174" s="32" t="s">
        <v>119</v>
      </c>
      <c r="Q174" s="32" t="s">
        <v>95</v>
      </c>
      <c r="R174" s="32">
        <v>0</v>
      </c>
      <c r="S174" s="32">
        <v>1</v>
      </c>
      <c r="T174" s="32">
        <v>1</v>
      </c>
      <c r="U174" s="32">
        <v>0</v>
      </c>
      <c r="V174" s="32" t="s">
        <v>96</v>
      </c>
      <c r="W174" s="32" t="s">
        <v>648</v>
      </c>
      <c r="X174" s="32" t="s">
        <v>649</v>
      </c>
    </row>
    <row r="175" spans="1:24" x14ac:dyDescent="0.25">
      <c r="A175" s="32">
        <v>174</v>
      </c>
      <c r="B175" s="32" t="s">
        <v>650</v>
      </c>
      <c r="C175" s="32" t="s">
        <v>4</v>
      </c>
      <c r="D175" s="32" t="s">
        <v>79</v>
      </c>
      <c r="E175" s="32" t="s">
        <v>32</v>
      </c>
      <c r="F175" s="32">
        <v>0</v>
      </c>
      <c r="G175" s="33">
        <v>145</v>
      </c>
      <c r="H175" s="33">
        <v>631</v>
      </c>
      <c r="I175" s="34">
        <v>0.23</v>
      </c>
      <c r="J175" s="35">
        <v>46119</v>
      </c>
      <c r="K175" s="36">
        <v>46113</v>
      </c>
      <c r="L175" s="32" t="s">
        <v>80</v>
      </c>
      <c r="M175" s="32" t="s">
        <v>144</v>
      </c>
      <c r="N175" s="32" t="s">
        <v>651</v>
      </c>
      <c r="O175" s="32" t="s">
        <v>93</v>
      </c>
      <c r="P175" s="32" t="s">
        <v>119</v>
      </c>
      <c r="Q175" s="32" t="s">
        <v>95</v>
      </c>
      <c r="R175" s="32">
        <v>0</v>
      </c>
      <c r="S175" s="32">
        <v>1</v>
      </c>
      <c r="T175" s="32">
        <v>1</v>
      </c>
      <c r="U175" s="32">
        <v>0</v>
      </c>
      <c r="V175" s="32" t="s">
        <v>211</v>
      </c>
      <c r="W175" s="32" t="s">
        <v>212</v>
      </c>
      <c r="X175" s="32" t="s">
        <v>652</v>
      </c>
    </row>
    <row r="176" spans="1:24" x14ac:dyDescent="0.25">
      <c r="A176" s="32">
        <v>175</v>
      </c>
      <c r="B176" s="32" t="s">
        <v>653</v>
      </c>
      <c r="C176" s="32" t="s">
        <v>15</v>
      </c>
      <c r="D176" s="32" t="s">
        <v>79</v>
      </c>
      <c r="E176" s="32" t="s">
        <v>36</v>
      </c>
      <c r="F176" s="32">
        <v>0</v>
      </c>
      <c r="G176" s="33">
        <v>1500</v>
      </c>
      <c r="H176" s="33">
        <v>45000</v>
      </c>
      <c r="I176" s="34">
        <v>3.3000000000000002E-2</v>
      </c>
      <c r="J176" s="35">
        <v>46100</v>
      </c>
      <c r="K176" s="36">
        <v>46082</v>
      </c>
      <c r="L176" s="32" t="s">
        <v>80</v>
      </c>
      <c r="M176" s="32" t="s">
        <v>106</v>
      </c>
      <c r="N176" s="32" t="s">
        <v>456</v>
      </c>
      <c r="O176" s="32" t="s">
        <v>83</v>
      </c>
      <c r="P176" s="32" t="s">
        <v>101</v>
      </c>
      <c r="Q176" s="32" t="s">
        <v>102</v>
      </c>
      <c r="R176" s="32">
        <v>0</v>
      </c>
      <c r="S176" s="32">
        <v>1</v>
      </c>
      <c r="T176" s="32">
        <v>1</v>
      </c>
      <c r="U176" s="32">
        <v>0</v>
      </c>
      <c r="V176" s="32" t="s">
        <v>96</v>
      </c>
      <c r="W176" s="32" t="s">
        <v>654</v>
      </c>
      <c r="X176" s="32" t="s">
        <v>655</v>
      </c>
    </row>
    <row r="177" spans="1:24" x14ac:dyDescent="0.25">
      <c r="A177" s="32">
        <v>176</v>
      </c>
      <c r="B177" s="32" t="s">
        <v>656</v>
      </c>
      <c r="C177" s="32" t="s">
        <v>20</v>
      </c>
      <c r="D177" s="32" t="s">
        <v>79</v>
      </c>
      <c r="E177" s="32" t="s">
        <v>36</v>
      </c>
      <c r="F177" s="32">
        <v>0</v>
      </c>
      <c r="G177" s="33">
        <v>1700</v>
      </c>
      <c r="H177" s="33">
        <v>71000</v>
      </c>
      <c r="I177" s="34">
        <v>2.4E-2</v>
      </c>
      <c r="J177" s="35">
        <v>46155</v>
      </c>
      <c r="K177" s="36">
        <v>46143</v>
      </c>
      <c r="L177" s="32" t="s">
        <v>80</v>
      </c>
      <c r="M177" s="32" t="s">
        <v>91</v>
      </c>
      <c r="N177" s="32" t="s">
        <v>394</v>
      </c>
      <c r="O177" s="32" t="s">
        <v>160</v>
      </c>
      <c r="P177" s="32" t="s">
        <v>101</v>
      </c>
      <c r="Q177" s="32" t="s">
        <v>102</v>
      </c>
      <c r="R177" s="32">
        <v>0</v>
      </c>
      <c r="S177" s="32">
        <v>1</v>
      </c>
      <c r="T177" s="32">
        <v>1</v>
      </c>
      <c r="U177" s="32">
        <v>0</v>
      </c>
      <c r="V177" s="32" t="s">
        <v>96</v>
      </c>
      <c r="W177" s="32" t="s">
        <v>657</v>
      </c>
      <c r="X177" s="32" t="s">
        <v>658</v>
      </c>
    </row>
    <row r="178" spans="1:24" x14ac:dyDescent="0.25">
      <c r="A178" s="32">
        <v>177</v>
      </c>
      <c r="B178" s="32" t="s">
        <v>659</v>
      </c>
      <c r="C178" s="32" t="s">
        <v>33</v>
      </c>
      <c r="D178" s="32" t="s">
        <v>90</v>
      </c>
      <c r="E178" s="32" t="s">
        <v>32</v>
      </c>
      <c r="F178" s="32">
        <v>0</v>
      </c>
      <c r="G178" s="33">
        <v>52</v>
      </c>
      <c r="H178" s="33">
        <v>198933</v>
      </c>
      <c r="I178" s="34">
        <v>0</v>
      </c>
      <c r="J178" s="35">
        <v>46239</v>
      </c>
      <c r="K178" s="36">
        <v>46235</v>
      </c>
      <c r="L178" s="32" t="s">
        <v>80</v>
      </c>
      <c r="M178" s="32" t="s">
        <v>81</v>
      </c>
      <c r="N178" s="32" t="s">
        <v>529</v>
      </c>
      <c r="O178" s="32" t="s">
        <v>113</v>
      </c>
      <c r="P178" s="32" t="s">
        <v>101</v>
      </c>
      <c r="Q178" s="32" t="s">
        <v>137</v>
      </c>
      <c r="R178" s="32">
        <v>0</v>
      </c>
      <c r="S178" s="32">
        <v>1</v>
      </c>
      <c r="T178" s="32">
        <v>1</v>
      </c>
      <c r="U178" s="32">
        <v>0</v>
      </c>
      <c r="V178" s="32" t="s">
        <v>96</v>
      </c>
      <c r="W178" s="32" t="s">
        <v>149</v>
      </c>
      <c r="X178" s="32" t="s">
        <v>660</v>
      </c>
    </row>
    <row r="179" spans="1:24" x14ac:dyDescent="0.25">
      <c r="A179" s="32">
        <v>178</v>
      </c>
      <c r="B179" s="32" t="s">
        <v>661</v>
      </c>
      <c r="C179" s="32" t="s">
        <v>17</v>
      </c>
      <c r="D179" s="32" t="s">
        <v>79</v>
      </c>
      <c r="E179" s="32" t="s">
        <v>32</v>
      </c>
      <c r="F179" s="32">
        <v>0</v>
      </c>
      <c r="G179" s="33">
        <v>77</v>
      </c>
      <c r="H179" s="33">
        <v>160</v>
      </c>
      <c r="I179" s="34">
        <v>0.48099999999999998</v>
      </c>
      <c r="J179" s="35">
        <v>46098</v>
      </c>
      <c r="K179" s="36">
        <v>46082</v>
      </c>
      <c r="L179" s="32" t="s">
        <v>80</v>
      </c>
      <c r="M179" s="32" t="s">
        <v>106</v>
      </c>
      <c r="N179" s="32" t="s">
        <v>247</v>
      </c>
      <c r="O179" s="32" t="s">
        <v>93</v>
      </c>
      <c r="P179" s="32" t="s">
        <v>94</v>
      </c>
      <c r="Q179" s="32" t="s">
        <v>137</v>
      </c>
      <c r="R179" s="32">
        <v>0</v>
      </c>
      <c r="S179" s="32">
        <v>1</v>
      </c>
      <c r="T179" s="32">
        <v>1</v>
      </c>
      <c r="U179" s="32">
        <v>0</v>
      </c>
      <c r="V179" s="32" t="s">
        <v>96</v>
      </c>
      <c r="W179" s="32" t="s">
        <v>191</v>
      </c>
      <c r="X179" s="32" t="s">
        <v>662</v>
      </c>
    </row>
    <row r="180" spans="1:24" x14ac:dyDescent="0.25">
      <c r="A180" s="32">
        <v>179</v>
      </c>
      <c r="B180" s="32" t="s">
        <v>663</v>
      </c>
      <c r="C180" s="32" t="s">
        <v>20</v>
      </c>
      <c r="D180" s="32" t="s">
        <v>79</v>
      </c>
      <c r="E180" s="32" t="s">
        <v>32</v>
      </c>
      <c r="F180" s="32">
        <v>0</v>
      </c>
      <c r="G180" s="33">
        <v>740</v>
      </c>
      <c r="H180" s="33">
        <v>33000</v>
      </c>
      <c r="I180" s="34">
        <v>2.1999999999999999E-2</v>
      </c>
      <c r="J180" s="35">
        <v>46295</v>
      </c>
      <c r="K180" s="36">
        <v>46266</v>
      </c>
      <c r="L180" s="32" t="s">
        <v>80</v>
      </c>
      <c r="M180" s="32" t="s">
        <v>151</v>
      </c>
      <c r="N180" s="32" t="s">
        <v>361</v>
      </c>
      <c r="O180" s="32" t="s">
        <v>83</v>
      </c>
      <c r="P180" s="32" t="s">
        <v>101</v>
      </c>
      <c r="Q180" s="32" t="s">
        <v>85</v>
      </c>
      <c r="R180" s="32">
        <v>0</v>
      </c>
      <c r="S180" s="32">
        <v>1</v>
      </c>
      <c r="T180" s="32">
        <v>1</v>
      </c>
      <c r="U180" s="32">
        <v>0</v>
      </c>
      <c r="V180" s="32" t="s">
        <v>96</v>
      </c>
      <c r="W180" s="32" t="s">
        <v>664</v>
      </c>
      <c r="X180" s="32" t="s">
        <v>665</v>
      </c>
    </row>
    <row r="181" spans="1:24" x14ac:dyDescent="0.25">
      <c r="A181" s="32">
        <v>180</v>
      </c>
      <c r="B181" s="32" t="s">
        <v>666</v>
      </c>
      <c r="C181" s="32" t="s">
        <v>2</v>
      </c>
      <c r="D181" s="32" t="s">
        <v>79</v>
      </c>
      <c r="E181" s="32" t="s">
        <v>36</v>
      </c>
      <c r="F181" s="32">
        <v>0</v>
      </c>
      <c r="G181" s="33">
        <v>700</v>
      </c>
      <c r="H181" s="33">
        <v>14000</v>
      </c>
      <c r="I181" s="34">
        <v>0.05</v>
      </c>
      <c r="J181" s="35">
        <v>46146</v>
      </c>
      <c r="K181" s="36">
        <v>46143</v>
      </c>
      <c r="L181" s="32" t="s">
        <v>80</v>
      </c>
      <c r="M181" s="32" t="s">
        <v>91</v>
      </c>
      <c r="N181" s="32" t="s">
        <v>667</v>
      </c>
      <c r="O181" s="32" t="s">
        <v>83</v>
      </c>
      <c r="P181" s="32" t="s">
        <v>84</v>
      </c>
      <c r="Q181" s="32" t="s">
        <v>85</v>
      </c>
      <c r="R181" s="32">
        <v>0</v>
      </c>
      <c r="S181" s="32">
        <v>1</v>
      </c>
      <c r="T181" s="32">
        <v>1</v>
      </c>
      <c r="U181" s="32">
        <v>0</v>
      </c>
      <c r="V181" s="32" t="s">
        <v>96</v>
      </c>
      <c r="W181" s="32" t="s">
        <v>668</v>
      </c>
      <c r="X181" s="32" t="s">
        <v>669</v>
      </c>
    </row>
    <row r="182" spans="1:24" x14ac:dyDescent="0.25">
      <c r="A182" s="32">
        <v>181</v>
      </c>
      <c r="B182" s="32" t="s">
        <v>670</v>
      </c>
      <c r="C182" s="32" t="s">
        <v>33</v>
      </c>
      <c r="D182" s="32" t="s">
        <v>90</v>
      </c>
      <c r="E182" s="32" t="s">
        <v>30</v>
      </c>
      <c r="F182" s="32">
        <v>1</v>
      </c>
      <c r="G182" s="33">
        <v>400</v>
      </c>
      <c r="H182" s="33">
        <v>1700</v>
      </c>
      <c r="I182" s="34">
        <v>0.23499999999999999</v>
      </c>
      <c r="J182" s="35">
        <v>46163</v>
      </c>
      <c r="K182" s="36">
        <v>46143</v>
      </c>
      <c r="L182" s="32" t="s">
        <v>80</v>
      </c>
      <c r="M182" s="32" t="s">
        <v>91</v>
      </c>
      <c r="N182" s="32" t="s">
        <v>410</v>
      </c>
      <c r="O182" s="32" t="s">
        <v>125</v>
      </c>
      <c r="P182" s="32" t="s">
        <v>119</v>
      </c>
      <c r="Q182" s="32" t="s">
        <v>95</v>
      </c>
      <c r="R182" s="32">
        <v>0</v>
      </c>
      <c r="S182" s="32">
        <v>1</v>
      </c>
      <c r="T182" s="32">
        <v>1</v>
      </c>
      <c r="U182" s="32">
        <v>0</v>
      </c>
      <c r="V182" s="32" t="s">
        <v>96</v>
      </c>
      <c r="W182" s="32" t="s">
        <v>671</v>
      </c>
      <c r="X182" s="32" t="s">
        <v>672</v>
      </c>
    </row>
    <row r="183" spans="1:24" x14ac:dyDescent="0.25">
      <c r="A183" s="32">
        <v>182</v>
      </c>
      <c r="B183" s="32" t="s">
        <v>673</v>
      </c>
      <c r="C183" s="32" t="s">
        <v>31</v>
      </c>
      <c r="D183" s="32" t="s">
        <v>79</v>
      </c>
      <c r="E183" s="32" t="s">
        <v>32</v>
      </c>
      <c r="F183" s="32">
        <v>0</v>
      </c>
      <c r="G183" s="33">
        <v>250</v>
      </c>
      <c r="H183" s="33">
        <v>94744</v>
      </c>
      <c r="I183" s="34">
        <v>3.0000000000000001E-3</v>
      </c>
      <c r="J183" s="35">
        <v>46241</v>
      </c>
      <c r="K183" s="36">
        <v>46235</v>
      </c>
      <c r="L183" s="32" t="s">
        <v>80</v>
      </c>
      <c r="M183" s="32" t="s">
        <v>81</v>
      </c>
      <c r="N183" s="32" t="s">
        <v>674</v>
      </c>
      <c r="O183" s="32" t="s">
        <v>160</v>
      </c>
      <c r="P183" s="32" t="s">
        <v>101</v>
      </c>
      <c r="Q183" s="32" t="s">
        <v>95</v>
      </c>
      <c r="R183" s="32">
        <v>0</v>
      </c>
      <c r="S183" s="32">
        <v>1</v>
      </c>
      <c r="T183" s="32">
        <v>1</v>
      </c>
      <c r="U183" s="32">
        <v>0</v>
      </c>
      <c r="V183" s="32" t="s">
        <v>96</v>
      </c>
      <c r="W183" s="32" t="s">
        <v>675</v>
      </c>
      <c r="X183" s="32" t="s">
        <v>676</v>
      </c>
    </row>
    <row r="184" spans="1:24" x14ac:dyDescent="0.25">
      <c r="A184" s="32">
        <v>183</v>
      </c>
      <c r="B184" s="32" t="s">
        <v>677</v>
      </c>
      <c r="C184" s="32" t="s">
        <v>15</v>
      </c>
      <c r="D184" s="32" t="s">
        <v>79</v>
      </c>
      <c r="E184" s="32" t="s">
        <v>32</v>
      </c>
      <c r="F184" s="32">
        <v>0</v>
      </c>
      <c r="G184" s="33">
        <v>200</v>
      </c>
      <c r="H184" s="33">
        <v>4600</v>
      </c>
      <c r="I184" s="34">
        <v>4.2999999999999997E-2</v>
      </c>
      <c r="J184" s="35">
        <v>46239</v>
      </c>
      <c r="K184" s="36">
        <v>46235</v>
      </c>
      <c r="L184" s="32" t="s">
        <v>80</v>
      </c>
      <c r="M184" s="32" t="s">
        <v>81</v>
      </c>
      <c r="N184" s="32" t="s">
        <v>529</v>
      </c>
      <c r="O184" s="32" t="s">
        <v>125</v>
      </c>
      <c r="P184" s="32" t="s">
        <v>101</v>
      </c>
      <c r="Q184" s="32" t="s">
        <v>95</v>
      </c>
      <c r="R184" s="32">
        <v>0</v>
      </c>
      <c r="S184" s="32">
        <v>1</v>
      </c>
      <c r="T184" s="32">
        <v>1</v>
      </c>
      <c r="U184" s="32">
        <v>0</v>
      </c>
      <c r="V184" s="32" t="s">
        <v>211</v>
      </c>
      <c r="W184" s="32" t="s">
        <v>212</v>
      </c>
      <c r="X184" s="32" t="s">
        <v>678</v>
      </c>
    </row>
    <row r="185" spans="1:24" x14ac:dyDescent="0.25">
      <c r="A185" s="32">
        <v>184</v>
      </c>
      <c r="B185" s="32" t="s">
        <v>679</v>
      </c>
      <c r="C185" s="32" t="s">
        <v>15</v>
      </c>
      <c r="D185" s="32" t="s">
        <v>79</v>
      </c>
      <c r="E185" s="32" t="s">
        <v>30</v>
      </c>
      <c r="F185" s="32">
        <v>1</v>
      </c>
      <c r="G185" s="33">
        <v>3343</v>
      </c>
      <c r="H185" s="33">
        <v>214521</v>
      </c>
      <c r="I185" s="34">
        <v>1.6E-2</v>
      </c>
      <c r="J185" s="35">
        <v>46215</v>
      </c>
      <c r="K185" s="36">
        <v>46204</v>
      </c>
      <c r="L185" s="32" t="s">
        <v>80</v>
      </c>
      <c r="M185" s="32" t="s">
        <v>123</v>
      </c>
      <c r="N185" s="32" t="s">
        <v>680</v>
      </c>
      <c r="O185" s="32" t="s">
        <v>113</v>
      </c>
      <c r="P185" s="32" t="s">
        <v>101</v>
      </c>
      <c r="Q185" s="32" t="s">
        <v>102</v>
      </c>
      <c r="R185" s="32">
        <v>0</v>
      </c>
      <c r="S185" s="32">
        <v>1</v>
      </c>
      <c r="T185" s="32">
        <v>1</v>
      </c>
      <c r="U185" s="32">
        <v>0</v>
      </c>
      <c r="V185" s="32" t="s">
        <v>96</v>
      </c>
      <c r="W185" s="32" t="s">
        <v>422</v>
      </c>
      <c r="X185" s="32" t="s">
        <v>681</v>
      </c>
    </row>
    <row r="186" spans="1:24" x14ac:dyDescent="0.25">
      <c r="A186" s="32">
        <v>185</v>
      </c>
      <c r="B186" s="32" t="s">
        <v>682</v>
      </c>
      <c r="C186" s="32" t="s">
        <v>15</v>
      </c>
      <c r="D186" s="32" t="s">
        <v>79</v>
      </c>
      <c r="E186" s="32" t="s">
        <v>30</v>
      </c>
      <c r="F186" s="32">
        <v>1</v>
      </c>
      <c r="G186" s="33">
        <v>20000</v>
      </c>
      <c r="H186" s="33">
        <v>210000</v>
      </c>
      <c r="I186" s="34">
        <v>9.5000000000000001E-2</v>
      </c>
      <c r="J186" s="35">
        <v>46100</v>
      </c>
      <c r="K186" s="36">
        <v>46082</v>
      </c>
      <c r="L186" s="32" t="s">
        <v>80</v>
      </c>
      <c r="M186" s="32" t="s">
        <v>106</v>
      </c>
      <c r="N186" s="32" t="s">
        <v>456</v>
      </c>
      <c r="O186" s="32" t="s">
        <v>113</v>
      </c>
      <c r="P186" s="32" t="s">
        <v>84</v>
      </c>
      <c r="Q186" s="32" t="s">
        <v>114</v>
      </c>
      <c r="R186" s="32">
        <v>0</v>
      </c>
      <c r="S186" s="32">
        <v>1</v>
      </c>
      <c r="T186" s="32">
        <v>1</v>
      </c>
      <c r="U186" s="32">
        <v>0</v>
      </c>
      <c r="V186" s="32" t="s">
        <v>96</v>
      </c>
      <c r="W186" s="32" t="s">
        <v>207</v>
      </c>
      <c r="X186" s="32" t="s">
        <v>683</v>
      </c>
    </row>
    <row r="187" spans="1:24" x14ac:dyDescent="0.25">
      <c r="A187" s="32">
        <v>186</v>
      </c>
      <c r="B187" s="32" t="s">
        <v>684</v>
      </c>
      <c r="C187" s="32" t="s">
        <v>20</v>
      </c>
      <c r="D187" s="32" t="s">
        <v>79</v>
      </c>
      <c r="E187" s="32" t="s">
        <v>32</v>
      </c>
      <c r="F187" s="32">
        <v>0</v>
      </c>
      <c r="G187" s="33">
        <v>73</v>
      </c>
      <c r="H187" s="33">
        <v>1700</v>
      </c>
      <c r="I187" s="34">
        <v>4.2999999999999997E-2</v>
      </c>
      <c r="J187" s="35">
        <v>46253</v>
      </c>
      <c r="K187" s="36">
        <v>46235</v>
      </c>
      <c r="L187" s="32" t="s">
        <v>80</v>
      </c>
      <c r="M187" s="32" t="s">
        <v>81</v>
      </c>
      <c r="N187" s="32" t="s">
        <v>685</v>
      </c>
      <c r="O187" s="32" t="s">
        <v>125</v>
      </c>
      <c r="P187" s="32" t="s">
        <v>101</v>
      </c>
      <c r="Q187" s="32" t="s">
        <v>137</v>
      </c>
      <c r="R187" s="32">
        <v>0</v>
      </c>
      <c r="S187" s="32">
        <v>1</v>
      </c>
      <c r="T187" s="32">
        <v>1</v>
      </c>
      <c r="U187" s="32">
        <v>0</v>
      </c>
      <c r="V187" s="32" t="s">
        <v>86</v>
      </c>
      <c r="W187" s="32" t="s">
        <v>87</v>
      </c>
      <c r="X187" s="32" t="s">
        <v>322</v>
      </c>
    </row>
    <row r="188" spans="1:24" x14ac:dyDescent="0.25">
      <c r="A188" s="32">
        <v>187</v>
      </c>
      <c r="B188" s="32" t="s">
        <v>686</v>
      </c>
      <c r="C188" s="32" t="s">
        <v>15</v>
      </c>
      <c r="D188" s="32" t="s">
        <v>79</v>
      </c>
      <c r="E188" s="32" t="s">
        <v>37</v>
      </c>
      <c r="F188" s="32">
        <v>0</v>
      </c>
      <c r="G188" s="33">
        <v>52</v>
      </c>
      <c r="H188" s="33">
        <v>3627</v>
      </c>
      <c r="I188" s="34">
        <v>1.39999999999999E-2</v>
      </c>
      <c r="J188" s="35">
        <v>46295</v>
      </c>
      <c r="K188" s="36">
        <v>46266</v>
      </c>
      <c r="L188" s="32" t="s">
        <v>80</v>
      </c>
      <c r="M188" s="32" t="s">
        <v>151</v>
      </c>
      <c r="N188" s="32" t="s">
        <v>361</v>
      </c>
      <c r="O188" s="32" t="s">
        <v>125</v>
      </c>
      <c r="P188" s="32" t="s">
        <v>101</v>
      </c>
      <c r="Q188" s="32" t="s">
        <v>137</v>
      </c>
      <c r="R188" s="32">
        <v>0</v>
      </c>
      <c r="S188" s="32">
        <v>1</v>
      </c>
      <c r="T188" s="32">
        <v>1</v>
      </c>
      <c r="U188" s="32">
        <v>0</v>
      </c>
      <c r="V188" s="32" t="s">
        <v>96</v>
      </c>
      <c r="W188" s="32" t="s">
        <v>687</v>
      </c>
      <c r="X188" s="32" t="s">
        <v>688</v>
      </c>
    </row>
    <row r="189" spans="1:24" x14ac:dyDescent="0.25">
      <c r="A189" s="32">
        <v>188</v>
      </c>
      <c r="B189" s="32" t="s">
        <v>689</v>
      </c>
      <c r="C189" s="32" t="s">
        <v>2</v>
      </c>
      <c r="D189" s="32" t="s">
        <v>79</v>
      </c>
      <c r="E189" s="32" t="s">
        <v>32</v>
      </c>
      <c r="F189" s="32">
        <v>0</v>
      </c>
      <c r="G189" s="33">
        <v>100</v>
      </c>
      <c r="H189" s="33">
        <v>5500</v>
      </c>
      <c r="I189" s="34">
        <v>1.7999999999999999E-2</v>
      </c>
      <c r="J189" s="35">
        <v>46105</v>
      </c>
      <c r="K189" s="36">
        <v>46082</v>
      </c>
      <c r="L189" s="32" t="s">
        <v>80</v>
      </c>
      <c r="M189" s="32" t="s">
        <v>106</v>
      </c>
      <c r="N189" s="32" t="s">
        <v>537</v>
      </c>
      <c r="O189" s="32" t="s">
        <v>125</v>
      </c>
      <c r="P189" s="32" t="s">
        <v>101</v>
      </c>
      <c r="Q189" s="32" t="s">
        <v>95</v>
      </c>
      <c r="R189" s="32">
        <v>0</v>
      </c>
      <c r="S189" s="32">
        <v>1</v>
      </c>
      <c r="T189" s="32">
        <v>1</v>
      </c>
      <c r="U189" s="32">
        <v>0</v>
      </c>
      <c r="V189" s="32" t="s">
        <v>96</v>
      </c>
      <c r="W189" s="32" t="s">
        <v>690</v>
      </c>
      <c r="X189" s="32" t="s">
        <v>691</v>
      </c>
    </row>
    <row r="190" spans="1:24" x14ac:dyDescent="0.25">
      <c r="A190" s="32">
        <v>189</v>
      </c>
      <c r="B190" s="32" t="s">
        <v>692</v>
      </c>
      <c r="C190" s="32" t="s">
        <v>17</v>
      </c>
      <c r="D190" s="32" t="s">
        <v>79</v>
      </c>
      <c r="E190" s="32" t="s">
        <v>32</v>
      </c>
      <c r="F190" s="32">
        <v>0</v>
      </c>
      <c r="G190" s="33">
        <v>214</v>
      </c>
      <c r="H190" s="33">
        <v>10350</v>
      </c>
      <c r="I190" s="34">
        <v>2.1000000000000001E-2</v>
      </c>
      <c r="J190" s="35">
        <v>46281</v>
      </c>
      <c r="K190" s="36">
        <v>46266</v>
      </c>
      <c r="L190" s="32" t="s">
        <v>80</v>
      </c>
      <c r="M190" s="32" t="s">
        <v>151</v>
      </c>
      <c r="N190" s="32" t="s">
        <v>235</v>
      </c>
      <c r="O190" s="32" t="s">
        <v>83</v>
      </c>
      <c r="P190" s="32" t="s">
        <v>101</v>
      </c>
      <c r="Q190" s="32" t="s">
        <v>95</v>
      </c>
      <c r="R190" s="32">
        <v>0</v>
      </c>
      <c r="S190" s="32">
        <v>1</v>
      </c>
      <c r="T190" s="32">
        <v>1</v>
      </c>
      <c r="U190" s="32">
        <v>0</v>
      </c>
      <c r="V190" s="32" t="s">
        <v>96</v>
      </c>
      <c r="W190" s="32" t="s">
        <v>199</v>
      </c>
      <c r="X190" s="32" t="s">
        <v>693</v>
      </c>
    </row>
    <row r="191" spans="1:24" x14ac:dyDescent="0.25">
      <c r="A191" s="32">
        <v>190</v>
      </c>
      <c r="B191" s="32" t="s">
        <v>694</v>
      </c>
      <c r="C191" s="32" t="s">
        <v>4</v>
      </c>
      <c r="D191" s="32" t="s">
        <v>79</v>
      </c>
      <c r="E191" s="32" t="s">
        <v>34</v>
      </c>
      <c r="F191" s="32">
        <v>0</v>
      </c>
      <c r="G191" s="33">
        <v>6000</v>
      </c>
      <c r="H191" s="33">
        <v>87000</v>
      </c>
      <c r="I191" s="34">
        <v>6.9000000000000006E-2</v>
      </c>
      <c r="J191" s="35">
        <v>46065</v>
      </c>
      <c r="K191" s="36">
        <v>46054</v>
      </c>
      <c r="L191" s="32" t="s">
        <v>80</v>
      </c>
      <c r="M191" s="32" t="s">
        <v>187</v>
      </c>
      <c r="N191" s="32" t="s">
        <v>695</v>
      </c>
      <c r="O191" s="32" t="s">
        <v>160</v>
      </c>
      <c r="P191" s="32" t="s">
        <v>84</v>
      </c>
      <c r="Q191" s="32" t="s">
        <v>114</v>
      </c>
      <c r="R191" s="32">
        <v>0</v>
      </c>
      <c r="S191" s="32">
        <v>1</v>
      </c>
      <c r="T191" s="32">
        <v>1</v>
      </c>
      <c r="U191" s="32">
        <v>0</v>
      </c>
      <c r="V191" s="32" t="s">
        <v>96</v>
      </c>
      <c r="W191" s="32" t="s">
        <v>500</v>
      </c>
      <c r="X191" s="32" t="s">
        <v>501</v>
      </c>
    </row>
    <row r="192" spans="1:24" x14ac:dyDescent="0.25">
      <c r="A192" s="32">
        <v>191</v>
      </c>
      <c r="B192" s="32" t="s">
        <v>696</v>
      </c>
      <c r="C192" s="32" t="s">
        <v>4</v>
      </c>
      <c r="D192" s="32" t="s">
        <v>79</v>
      </c>
      <c r="E192" s="32" t="s">
        <v>32</v>
      </c>
      <c r="F192" s="32">
        <v>0</v>
      </c>
      <c r="G192" s="33">
        <v>67</v>
      </c>
      <c r="H192" s="33">
        <v>150</v>
      </c>
      <c r="I192" s="34">
        <v>0.44700000000000001</v>
      </c>
      <c r="J192" s="35">
        <v>46293</v>
      </c>
      <c r="K192" s="36">
        <v>46266</v>
      </c>
      <c r="L192" s="32" t="s">
        <v>80</v>
      </c>
      <c r="M192" s="32" t="s">
        <v>151</v>
      </c>
      <c r="N192" s="32" t="s">
        <v>221</v>
      </c>
      <c r="O192" s="32" t="s">
        <v>93</v>
      </c>
      <c r="P192" s="32" t="s">
        <v>94</v>
      </c>
      <c r="Q192" s="32" t="s">
        <v>137</v>
      </c>
      <c r="R192" s="32">
        <v>0</v>
      </c>
      <c r="S192" s="32">
        <v>1</v>
      </c>
      <c r="T192" s="32">
        <v>1</v>
      </c>
      <c r="U192" s="32">
        <v>0</v>
      </c>
      <c r="V192" s="32" t="s">
        <v>96</v>
      </c>
      <c r="W192" s="32" t="s">
        <v>697</v>
      </c>
      <c r="X192" s="32" t="s">
        <v>698</v>
      </c>
    </row>
    <row r="193" spans="1:24" x14ac:dyDescent="0.25">
      <c r="A193" s="32">
        <v>192</v>
      </c>
      <c r="B193" s="32" t="s">
        <v>699</v>
      </c>
      <c r="C193" s="32" t="s">
        <v>4</v>
      </c>
      <c r="D193" s="32" t="s">
        <v>79</v>
      </c>
      <c r="E193" s="32" t="s">
        <v>32</v>
      </c>
      <c r="F193" s="32">
        <v>0</v>
      </c>
      <c r="G193" s="33">
        <v>374</v>
      </c>
      <c r="H193" s="33">
        <v>18000</v>
      </c>
      <c r="I193" s="34">
        <v>2.1000000000000001E-2</v>
      </c>
      <c r="J193" s="35">
        <v>46252</v>
      </c>
      <c r="K193" s="36">
        <v>46235</v>
      </c>
      <c r="L193" s="32" t="s">
        <v>80</v>
      </c>
      <c r="M193" s="32" t="s">
        <v>81</v>
      </c>
      <c r="N193" s="32" t="s">
        <v>167</v>
      </c>
      <c r="O193" s="32" t="s">
        <v>83</v>
      </c>
      <c r="P193" s="32" t="s">
        <v>101</v>
      </c>
      <c r="Q193" s="32" t="s">
        <v>95</v>
      </c>
      <c r="R193" s="32">
        <v>0</v>
      </c>
      <c r="S193" s="32">
        <v>1</v>
      </c>
      <c r="T193" s="32">
        <v>1</v>
      </c>
      <c r="U193" s="32">
        <v>0</v>
      </c>
      <c r="V193" s="32" t="s">
        <v>96</v>
      </c>
      <c r="W193" s="32" t="s">
        <v>305</v>
      </c>
      <c r="X193" s="32" t="s">
        <v>700</v>
      </c>
    </row>
    <row r="194" spans="1:24" x14ac:dyDescent="0.25">
      <c r="A194" s="32">
        <v>193</v>
      </c>
      <c r="B194" s="32" t="s">
        <v>701</v>
      </c>
      <c r="C194" s="32" t="s">
        <v>31</v>
      </c>
      <c r="D194" s="32" t="s">
        <v>79</v>
      </c>
      <c r="E194" s="32" t="s">
        <v>32</v>
      </c>
      <c r="F194" s="32">
        <v>0</v>
      </c>
      <c r="G194" s="33">
        <v>800</v>
      </c>
      <c r="H194" s="33">
        <v>475000</v>
      </c>
      <c r="I194" s="34">
        <v>2E-3</v>
      </c>
      <c r="J194" s="35">
        <v>46023</v>
      </c>
      <c r="K194" s="36">
        <v>46023</v>
      </c>
      <c r="L194" s="32" t="s">
        <v>25</v>
      </c>
      <c r="M194" s="32" t="s">
        <v>100</v>
      </c>
      <c r="N194" s="32" t="s">
        <v>100</v>
      </c>
      <c r="O194" s="32" t="s">
        <v>113</v>
      </c>
      <c r="P194" s="32" t="s">
        <v>101</v>
      </c>
      <c r="Q194" s="32" t="s">
        <v>85</v>
      </c>
      <c r="R194" s="32">
        <v>0</v>
      </c>
      <c r="S194" s="32">
        <v>1</v>
      </c>
      <c r="T194" s="32">
        <v>1</v>
      </c>
      <c r="U194" s="32">
        <v>0</v>
      </c>
      <c r="V194" s="32" t="s">
        <v>96</v>
      </c>
      <c r="W194" s="32" t="s">
        <v>400</v>
      </c>
      <c r="X194" s="32" t="s">
        <v>401</v>
      </c>
    </row>
    <row r="195" spans="1:24" x14ac:dyDescent="0.25">
      <c r="A195" s="32">
        <v>194</v>
      </c>
      <c r="B195" s="32" t="s">
        <v>702</v>
      </c>
      <c r="C195" s="32" t="s">
        <v>17</v>
      </c>
      <c r="D195" s="32" t="s">
        <v>79</v>
      </c>
      <c r="E195" s="32" t="s">
        <v>36</v>
      </c>
      <c r="F195" s="32">
        <v>0</v>
      </c>
      <c r="G195" s="33">
        <v>242</v>
      </c>
      <c r="H195" s="33">
        <v>4840</v>
      </c>
      <c r="I195" s="34">
        <v>0.05</v>
      </c>
      <c r="J195" s="35">
        <v>46051</v>
      </c>
      <c r="K195" s="36">
        <v>46023</v>
      </c>
      <c r="L195" s="32" t="s">
        <v>80</v>
      </c>
      <c r="M195" s="32" t="s">
        <v>100</v>
      </c>
      <c r="N195" s="32" t="s">
        <v>499</v>
      </c>
      <c r="O195" s="32" t="s">
        <v>125</v>
      </c>
      <c r="P195" s="32" t="s">
        <v>84</v>
      </c>
      <c r="Q195" s="32" t="s">
        <v>95</v>
      </c>
      <c r="R195" s="32">
        <v>0</v>
      </c>
      <c r="S195" s="32">
        <v>1</v>
      </c>
      <c r="T195" s="32">
        <v>1</v>
      </c>
      <c r="U195" s="32">
        <v>0</v>
      </c>
      <c r="V195" s="32" t="s">
        <v>96</v>
      </c>
      <c r="W195" s="32" t="s">
        <v>305</v>
      </c>
      <c r="X195" s="32" t="s">
        <v>703</v>
      </c>
    </row>
    <row r="196" spans="1:24" x14ac:dyDescent="0.25">
      <c r="A196" s="32">
        <v>195</v>
      </c>
      <c r="B196" s="32" t="s">
        <v>704</v>
      </c>
      <c r="C196" s="32" t="s">
        <v>7</v>
      </c>
      <c r="D196" s="32" t="s">
        <v>79</v>
      </c>
      <c r="E196" s="32" t="s">
        <v>36</v>
      </c>
      <c r="F196" s="32">
        <v>0</v>
      </c>
      <c r="G196" s="33">
        <v>600</v>
      </c>
      <c r="H196" s="33">
        <v>3750</v>
      </c>
      <c r="I196" s="34">
        <v>0.16</v>
      </c>
      <c r="J196" s="35">
        <v>46244</v>
      </c>
      <c r="K196" s="36">
        <v>46235</v>
      </c>
      <c r="L196" s="32" t="s">
        <v>80</v>
      </c>
      <c r="M196" s="32" t="s">
        <v>81</v>
      </c>
      <c r="N196" s="32" t="s">
        <v>705</v>
      </c>
      <c r="O196" s="32" t="s">
        <v>125</v>
      </c>
      <c r="P196" s="32" t="s">
        <v>119</v>
      </c>
      <c r="Q196" s="32" t="s">
        <v>85</v>
      </c>
      <c r="R196" s="32">
        <v>0</v>
      </c>
      <c r="S196" s="32">
        <v>1</v>
      </c>
      <c r="T196" s="32">
        <v>1</v>
      </c>
      <c r="U196" s="32">
        <v>0</v>
      </c>
      <c r="V196" s="32" t="s">
        <v>96</v>
      </c>
      <c r="W196" s="32" t="s">
        <v>706</v>
      </c>
      <c r="X196" s="32" t="s">
        <v>707</v>
      </c>
    </row>
    <row r="197" spans="1:24" x14ac:dyDescent="0.25">
      <c r="A197" s="32">
        <v>196</v>
      </c>
      <c r="B197" s="32" t="s">
        <v>708</v>
      </c>
      <c r="C197" s="32" t="s">
        <v>33</v>
      </c>
      <c r="D197" s="32" t="s">
        <v>90</v>
      </c>
      <c r="E197" s="32" t="s">
        <v>30</v>
      </c>
      <c r="F197" s="32">
        <v>1</v>
      </c>
      <c r="G197" s="33">
        <v>660</v>
      </c>
      <c r="H197" s="33">
        <v>8882</v>
      </c>
      <c r="I197" s="34">
        <v>7.3999999999999996E-2</v>
      </c>
      <c r="J197" s="35">
        <v>46301</v>
      </c>
      <c r="K197" s="36">
        <v>46296</v>
      </c>
      <c r="L197" s="32" t="s">
        <v>80</v>
      </c>
      <c r="M197" s="32" t="s">
        <v>178</v>
      </c>
      <c r="N197" s="32" t="s">
        <v>709</v>
      </c>
      <c r="O197" s="32" t="s">
        <v>125</v>
      </c>
      <c r="P197" s="32" t="s">
        <v>84</v>
      </c>
      <c r="Q197" s="32" t="s">
        <v>85</v>
      </c>
      <c r="R197" s="32">
        <v>0</v>
      </c>
      <c r="S197" s="32">
        <v>1</v>
      </c>
      <c r="T197" s="32">
        <v>1</v>
      </c>
      <c r="U197" s="32">
        <v>0</v>
      </c>
      <c r="V197" s="32" t="s">
        <v>96</v>
      </c>
      <c r="W197" s="32" t="s">
        <v>710</v>
      </c>
      <c r="X197" s="32" t="s">
        <v>711</v>
      </c>
    </row>
    <row r="198" spans="1:24" x14ac:dyDescent="0.25">
      <c r="A198" s="32">
        <v>197</v>
      </c>
      <c r="B198" s="32" t="s">
        <v>712</v>
      </c>
      <c r="C198" s="32" t="s">
        <v>29</v>
      </c>
      <c r="D198" s="32" t="s">
        <v>79</v>
      </c>
      <c r="E198" s="32" t="s">
        <v>37</v>
      </c>
      <c r="F198" s="32">
        <v>0</v>
      </c>
      <c r="G198" s="33">
        <v>700</v>
      </c>
      <c r="H198" s="33">
        <v>7000</v>
      </c>
      <c r="I198" s="34">
        <v>0.1</v>
      </c>
      <c r="J198" s="35">
        <v>46105</v>
      </c>
      <c r="K198" s="36">
        <v>46082</v>
      </c>
      <c r="L198" s="32" t="s">
        <v>80</v>
      </c>
      <c r="M198" s="32" t="s">
        <v>106</v>
      </c>
      <c r="N198" s="32" t="s">
        <v>537</v>
      </c>
      <c r="O198" s="32" t="s">
        <v>125</v>
      </c>
      <c r="P198" s="32" t="s">
        <v>119</v>
      </c>
      <c r="Q198" s="32" t="s">
        <v>85</v>
      </c>
      <c r="R198" s="32">
        <v>0</v>
      </c>
      <c r="S198" s="32">
        <v>1</v>
      </c>
      <c r="T198" s="32">
        <v>1</v>
      </c>
      <c r="U198" s="32">
        <v>0</v>
      </c>
      <c r="V198" s="32" t="s">
        <v>96</v>
      </c>
      <c r="W198" s="32" t="s">
        <v>713</v>
      </c>
      <c r="X198" s="32" t="s">
        <v>714</v>
      </c>
    </row>
    <row r="199" spans="1:24" x14ac:dyDescent="0.25">
      <c r="A199" s="32">
        <v>198</v>
      </c>
      <c r="B199" s="32" t="s">
        <v>715</v>
      </c>
      <c r="C199" s="32" t="s">
        <v>31</v>
      </c>
      <c r="D199" s="32" t="s">
        <v>79</v>
      </c>
      <c r="E199" s="32" t="s">
        <v>32</v>
      </c>
      <c r="F199" s="32">
        <v>0</v>
      </c>
      <c r="G199" s="33">
        <v>800</v>
      </c>
      <c r="H199" s="33">
        <v>166000</v>
      </c>
      <c r="I199" s="34">
        <v>5.0000000000000001E-3</v>
      </c>
      <c r="J199" s="35">
        <v>46100</v>
      </c>
      <c r="K199" s="36">
        <v>46082</v>
      </c>
      <c r="L199" s="32" t="s">
        <v>80</v>
      </c>
      <c r="M199" s="32" t="s">
        <v>106</v>
      </c>
      <c r="N199" s="32" t="s">
        <v>456</v>
      </c>
      <c r="O199" s="32" t="s">
        <v>113</v>
      </c>
      <c r="P199" s="32" t="s">
        <v>101</v>
      </c>
      <c r="Q199" s="32" t="s">
        <v>85</v>
      </c>
      <c r="R199" s="32">
        <v>0</v>
      </c>
      <c r="S199" s="32">
        <v>1</v>
      </c>
      <c r="T199" s="32">
        <v>1</v>
      </c>
      <c r="U199" s="32">
        <v>0</v>
      </c>
      <c r="V199" s="32" t="s">
        <v>96</v>
      </c>
      <c r="W199" s="32" t="s">
        <v>716</v>
      </c>
      <c r="X199" s="32" t="s">
        <v>717</v>
      </c>
    </row>
    <row r="200" spans="1:24" x14ac:dyDescent="0.25">
      <c r="A200" s="32">
        <v>199</v>
      </c>
      <c r="B200" s="32" t="s">
        <v>718</v>
      </c>
      <c r="C200" s="32" t="s">
        <v>2</v>
      </c>
      <c r="D200" s="32" t="s">
        <v>79</v>
      </c>
      <c r="E200" s="32" t="s">
        <v>32</v>
      </c>
      <c r="F200" s="32">
        <v>0</v>
      </c>
      <c r="G200" s="33">
        <v>996</v>
      </c>
      <c r="H200" s="33">
        <v>10000</v>
      </c>
      <c r="I200" s="34">
        <v>0.1</v>
      </c>
      <c r="J200" s="35">
        <v>46094</v>
      </c>
      <c r="K200" s="36">
        <v>46082</v>
      </c>
      <c r="L200" s="32" t="s">
        <v>80</v>
      </c>
      <c r="M200" s="32" t="s">
        <v>106</v>
      </c>
      <c r="N200" s="32" t="s">
        <v>719</v>
      </c>
      <c r="O200" s="32" t="s">
        <v>83</v>
      </c>
      <c r="P200" s="32" t="s">
        <v>119</v>
      </c>
      <c r="Q200" s="32" t="s">
        <v>85</v>
      </c>
      <c r="R200" s="32">
        <v>0</v>
      </c>
      <c r="S200" s="32">
        <v>1</v>
      </c>
      <c r="T200" s="32">
        <v>1</v>
      </c>
      <c r="U200" s="32">
        <v>0</v>
      </c>
      <c r="V200" s="32" t="s">
        <v>96</v>
      </c>
      <c r="W200" s="32" t="s">
        <v>641</v>
      </c>
      <c r="X200" s="32" t="s">
        <v>720</v>
      </c>
    </row>
    <row r="201" spans="1:24" x14ac:dyDescent="0.25">
      <c r="A201" s="32">
        <v>200</v>
      </c>
      <c r="B201" s="32" t="s">
        <v>721</v>
      </c>
      <c r="C201" s="32" t="s">
        <v>4</v>
      </c>
      <c r="D201" s="32" t="s">
        <v>79</v>
      </c>
      <c r="E201" s="32" t="s">
        <v>36</v>
      </c>
      <c r="F201" s="32">
        <v>0</v>
      </c>
      <c r="G201" s="33">
        <v>2000</v>
      </c>
      <c r="H201" s="33">
        <v>25800</v>
      </c>
      <c r="I201" s="34">
        <v>7.8E-2</v>
      </c>
      <c r="J201" s="35">
        <v>46244</v>
      </c>
      <c r="K201" s="36">
        <v>46235</v>
      </c>
      <c r="L201" s="32" t="s">
        <v>80</v>
      </c>
      <c r="M201" s="32" t="s">
        <v>81</v>
      </c>
      <c r="N201" s="32" t="s">
        <v>705</v>
      </c>
      <c r="O201" s="32" t="s">
        <v>83</v>
      </c>
      <c r="P201" s="32" t="s">
        <v>84</v>
      </c>
      <c r="Q201" s="32" t="s">
        <v>102</v>
      </c>
      <c r="R201" s="32">
        <v>0</v>
      </c>
      <c r="S201" s="32">
        <v>1</v>
      </c>
      <c r="T201" s="32">
        <v>1</v>
      </c>
      <c r="U201" s="32">
        <v>0</v>
      </c>
      <c r="V201" s="32" t="s">
        <v>96</v>
      </c>
      <c r="W201" s="32" t="s">
        <v>368</v>
      </c>
      <c r="X201" s="32" t="s">
        <v>722</v>
      </c>
    </row>
    <row r="202" spans="1:24" x14ac:dyDescent="0.25">
      <c r="A202" s="32">
        <v>201</v>
      </c>
      <c r="B202" s="32" t="s">
        <v>723</v>
      </c>
      <c r="C202" s="32" t="s">
        <v>33</v>
      </c>
      <c r="D202" s="32" t="s">
        <v>90</v>
      </c>
      <c r="E202" s="32" t="s">
        <v>30</v>
      </c>
      <c r="F202" s="32">
        <v>1</v>
      </c>
      <c r="G202" s="33">
        <v>340</v>
      </c>
      <c r="H202" s="33">
        <v>2600</v>
      </c>
      <c r="I202" s="34">
        <v>0.13100000000000001</v>
      </c>
      <c r="J202" s="35">
        <v>46157</v>
      </c>
      <c r="K202" s="36">
        <v>46143</v>
      </c>
      <c r="L202" s="32" t="s">
        <v>80</v>
      </c>
      <c r="M202" s="32" t="s">
        <v>91</v>
      </c>
      <c r="N202" s="32" t="s">
        <v>202</v>
      </c>
      <c r="O202" s="32" t="s">
        <v>125</v>
      </c>
      <c r="P202" s="32" t="s">
        <v>119</v>
      </c>
      <c r="Q202" s="32" t="s">
        <v>95</v>
      </c>
      <c r="R202" s="32">
        <v>0</v>
      </c>
      <c r="S202" s="32">
        <v>1</v>
      </c>
      <c r="T202" s="32">
        <v>1</v>
      </c>
      <c r="U202" s="32">
        <v>0</v>
      </c>
      <c r="V202" s="32" t="s">
        <v>96</v>
      </c>
      <c r="W202" s="32" t="s">
        <v>724</v>
      </c>
      <c r="X202" s="32" t="s">
        <v>725</v>
      </c>
    </row>
    <row r="203" spans="1:24" x14ac:dyDescent="0.25">
      <c r="A203" s="32">
        <v>202</v>
      </c>
      <c r="B203" s="32" t="s">
        <v>726</v>
      </c>
      <c r="C203" s="32" t="s">
        <v>20</v>
      </c>
      <c r="D203" s="32" t="s">
        <v>79</v>
      </c>
      <c r="E203" s="32" t="s">
        <v>32</v>
      </c>
      <c r="F203" s="32">
        <v>0</v>
      </c>
      <c r="G203" s="33">
        <v>65</v>
      </c>
      <c r="H203" s="33">
        <v>1007</v>
      </c>
      <c r="I203" s="34">
        <v>6.5000000000000002E-2</v>
      </c>
      <c r="J203" s="35">
        <v>46255</v>
      </c>
      <c r="K203" s="36">
        <v>46235</v>
      </c>
      <c r="L203" s="32" t="s">
        <v>80</v>
      </c>
      <c r="M203" s="32" t="s">
        <v>81</v>
      </c>
      <c r="N203" s="32" t="s">
        <v>174</v>
      </c>
      <c r="O203" s="32" t="s">
        <v>125</v>
      </c>
      <c r="P203" s="32" t="s">
        <v>84</v>
      </c>
      <c r="Q203" s="32" t="s">
        <v>137</v>
      </c>
      <c r="R203" s="32">
        <v>0</v>
      </c>
      <c r="S203" s="32">
        <v>1</v>
      </c>
      <c r="T203" s="32">
        <v>1</v>
      </c>
      <c r="U203" s="32">
        <v>0</v>
      </c>
      <c r="V203" s="32" t="s">
        <v>211</v>
      </c>
      <c r="W203" s="32" t="s">
        <v>212</v>
      </c>
      <c r="X203" s="32" t="s">
        <v>727</v>
      </c>
    </row>
    <row r="204" spans="1:24" x14ac:dyDescent="0.25">
      <c r="A204" s="32">
        <v>203</v>
      </c>
      <c r="B204" s="32" t="s">
        <v>728</v>
      </c>
      <c r="C204" s="32" t="s">
        <v>33</v>
      </c>
      <c r="D204" s="32" t="s">
        <v>90</v>
      </c>
      <c r="E204" s="32" t="s">
        <v>32</v>
      </c>
      <c r="F204" s="32">
        <v>0</v>
      </c>
      <c r="G204" s="33">
        <v>15000</v>
      </c>
      <c r="H204" s="33">
        <v>110000</v>
      </c>
      <c r="I204" s="34">
        <v>0.13600000000000001</v>
      </c>
      <c r="J204" s="35">
        <v>46023</v>
      </c>
      <c r="K204" s="36">
        <v>46023</v>
      </c>
      <c r="L204" s="32" t="s">
        <v>25</v>
      </c>
      <c r="M204" s="32" t="s">
        <v>100</v>
      </c>
      <c r="N204" s="32" t="s">
        <v>100</v>
      </c>
      <c r="O204" s="32" t="s">
        <v>113</v>
      </c>
      <c r="P204" s="32" t="s">
        <v>119</v>
      </c>
      <c r="Q204" s="32" t="s">
        <v>114</v>
      </c>
      <c r="R204" s="32">
        <v>0</v>
      </c>
      <c r="S204" s="32">
        <v>1</v>
      </c>
      <c r="T204" s="32">
        <v>2</v>
      </c>
      <c r="U204" s="32">
        <v>1</v>
      </c>
      <c r="V204" s="32" t="s">
        <v>96</v>
      </c>
      <c r="W204" s="32" t="s">
        <v>575</v>
      </c>
      <c r="X204" s="32" t="s">
        <v>576</v>
      </c>
    </row>
    <row r="205" spans="1:24" x14ac:dyDescent="0.25">
      <c r="A205" s="32">
        <v>204</v>
      </c>
      <c r="B205" s="32" t="s">
        <v>728</v>
      </c>
      <c r="C205" s="32" t="s">
        <v>33</v>
      </c>
      <c r="D205" s="32" t="s">
        <v>90</v>
      </c>
      <c r="E205" s="32" t="s">
        <v>32</v>
      </c>
      <c r="F205" s="32">
        <v>0</v>
      </c>
      <c r="G205" s="33">
        <v>52</v>
      </c>
      <c r="H205" s="33">
        <v>85100</v>
      </c>
      <c r="I205" s="34">
        <v>1E-3</v>
      </c>
      <c r="J205" s="35">
        <v>46283</v>
      </c>
      <c r="K205" s="36">
        <v>46266</v>
      </c>
      <c r="L205" s="32" t="s">
        <v>80</v>
      </c>
      <c r="M205" s="32" t="s">
        <v>151</v>
      </c>
      <c r="N205" s="32" t="s">
        <v>729</v>
      </c>
      <c r="O205" s="32" t="s">
        <v>160</v>
      </c>
      <c r="P205" s="32" t="s">
        <v>101</v>
      </c>
      <c r="Q205" s="32" t="s">
        <v>137</v>
      </c>
      <c r="R205" s="32">
        <v>0</v>
      </c>
      <c r="S205" s="32">
        <v>2</v>
      </c>
      <c r="T205" s="32">
        <v>2</v>
      </c>
      <c r="U205" s="32">
        <v>1</v>
      </c>
      <c r="V205" s="32" t="s">
        <v>86</v>
      </c>
      <c r="W205" s="32" t="s">
        <v>87</v>
      </c>
      <c r="X205" s="32" t="s">
        <v>88</v>
      </c>
    </row>
    <row r="206" spans="1:24" x14ac:dyDescent="0.25">
      <c r="A206" s="32">
        <v>205</v>
      </c>
      <c r="B206" s="32" t="s">
        <v>730</v>
      </c>
      <c r="C206" s="32" t="s">
        <v>31</v>
      </c>
      <c r="D206" s="32" t="s">
        <v>79</v>
      </c>
      <c r="E206" s="32" t="s">
        <v>32</v>
      </c>
      <c r="F206" s="32">
        <v>0</v>
      </c>
      <c r="G206" s="33">
        <v>850</v>
      </c>
      <c r="H206" s="33">
        <v>27700</v>
      </c>
      <c r="I206" s="34">
        <v>3.1E-2</v>
      </c>
      <c r="J206" s="35">
        <v>46160</v>
      </c>
      <c r="K206" s="36">
        <v>46143</v>
      </c>
      <c r="L206" s="32" t="s">
        <v>80</v>
      </c>
      <c r="M206" s="32" t="s">
        <v>91</v>
      </c>
      <c r="N206" s="32" t="s">
        <v>92</v>
      </c>
      <c r="O206" s="32" t="s">
        <v>83</v>
      </c>
      <c r="P206" s="32" t="s">
        <v>101</v>
      </c>
      <c r="Q206" s="32" t="s">
        <v>85</v>
      </c>
      <c r="R206" s="32">
        <v>0</v>
      </c>
      <c r="S206" s="32">
        <v>1</v>
      </c>
      <c r="T206" s="32">
        <v>1</v>
      </c>
      <c r="U206" s="32">
        <v>0</v>
      </c>
      <c r="V206" s="32" t="s">
        <v>96</v>
      </c>
      <c r="W206" s="32" t="s">
        <v>731</v>
      </c>
      <c r="X206" s="32" t="s">
        <v>732</v>
      </c>
    </row>
    <row r="207" spans="1:24" x14ac:dyDescent="0.25">
      <c r="A207" s="32">
        <v>206</v>
      </c>
      <c r="B207" s="32" t="s">
        <v>733</v>
      </c>
      <c r="C207" s="32" t="s">
        <v>2</v>
      </c>
      <c r="D207" s="32" t="s">
        <v>79</v>
      </c>
      <c r="E207" s="32" t="s">
        <v>32</v>
      </c>
      <c r="F207" s="32">
        <v>0</v>
      </c>
      <c r="G207" s="33">
        <v>1341</v>
      </c>
      <c r="H207" s="33">
        <v>15000</v>
      </c>
      <c r="I207" s="34">
        <v>8.8999999999999996E-2</v>
      </c>
      <c r="J207" s="35">
        <v>46233</v>
      </c>
      <c r="K207" s="36">
        <v>46204</v>
      </c>
      <c r="L207" s="32" t="s">
        <v>80</v>
      </c>
      <c r="M207" s="32" t="s">
        <v>123</v>
      </c>
      <c r="N207" s="32" t="s">
        <v>734</v>
      </c>
      <c r="O207" s="32" t="s">
        <v>83</v>
      </c>
      <c r="P207" s="32" t="s">
        <v>84</v>
      </c>
      <c r="Q207" s="32" t="s">
        <v>102</v>
      </c>
      <c r="R207" s="32">
        <v>0</v>
      </c>
      <c r="S207" s="32">
        <v>1</v>
      </c>
      <c r="T207" s="32">
        <v>1</v>
      </c>
      <c r="U207" s="32">
        <v>0</v>
      </c>
      <c r="V207" s="32" t="s">
        <v>96</v>
      </c>
      <c r="W207" s="32" t="s">
        <v>735</v>
      </c>
      <c r="X207" s="32" t="s">
        <v>736</v>
      </c>
    </row>
    <row r="208" spans="1:24" x14ac:dyDescent="0.25">
      <c r="A208" s="32">
        <v>207</v>
      </c>
      <c r="B208" s="32" t="s">
        <v>737</v>
      </c>
      <c r="C208" s="32" t="s">
        <v>5</v>
      </c>
      <c r="D208" s="32" t="s">
        <v>90</v>
      </c>
      <c r="E208" s="32" t="s">
        <v>30</v>
      </c>
      <c r="F208" s="32">
        <v>1</v>
      </c>
      <c r="G208" s="33">
        <v>3000</v>
      </c>
      <c r="H208" s="33">
        <v>18200</v>
      </c>
      <c r="I208" s="34">
        <v>0.16500000000000001</v>
      </c>
      <c r="J208" s="35">
        <v>46162</v>
      </c>
      <c r="K208" s="36">
        <v>46143</v>
      </c>
      <c r="L208" s="32" t="s">
        <v>80</v>
      </c>
      <c r="M208" s="32" t="s">
        <v>91</v>
      </c>
      <c r="N208" s="32" t="s">
        <v>118</v>
      </c>
      <c r="O208" s="32" t="s">
        <v>83</v>
      </c>
      <c r="P208" s="32" t="s">
        <v>119</v>
      </c>
      <c r="Q208" s="32" t="s">
        <v>102</v>
      </c>
      <c r="R208" s="32">
        <v>0</v>
      </c>
      <c r="S208" s="32">
        <v>1</v>
      </c>
      <c r="T208" s="32">
        <v>1</v>
      </c>
      <c r="U208" s="32">
        <v>0</v>
      </c>
      <c r="V208" s="32" t="s">
        <v>96</v>
      </c>
      <c r="W208" s="32" t="s">
        <v>264</v>
      </c>
      <c r="X208" s="32" t="s">
        <v>738</v>
      </c>
    </row>
    <row r="209" spans="1:24" x14ac:dyDescent="0.25">
      <c r="A209" s="32">
        <v>208</v>
      </c>
      <c r="B209" s="32" t="s">
        <v>739</v>
      </c>
      <c r="C209" s="32" t="s">
        <v>20</v>
      </c>
      <c r="D209" s="32" t="s">
        <v>79</v>
      </c>
      <c r="E209" s="32" t="s">
        <v>32</v>
      </c>
      <c r="F209" s="32">
        <v>0</v>
      </c>
      <c r="G209" s="33">
        <v>1485</v>
      </c>
      <c r="H209" s="33">
        <v>280000</v>
      </c>
      <c r="I209" s="34">
        <v>5.0000000000000001E-3</v>
      </c>
      <c r="J209" s="35">
        <v>46185</v>
      </c>
      <c r="K209" s="36">
        <v>46174</v>
      </c>
      <c r="L209" s="32" t="s">
        <v>80</v>
      </c>
      <c r="M209" s="32" t="s">
        <v>194</v>
      </c>
      <c r="N209" s="32" t="s">
        <v>441</v>
      </c>
      <c r="O209" s="32" t="s">
        <v>113</v>
      </c>
      <c r="P209" s="32" t="s">
        <v>101</v>
      </c>
      <c r="Q209" s="32" t="s">
        <v>102</v>
      </c>
      <c r="R209" s="32">
        <v>0</v>
      </c>
      <c r="S209" s="32">
        <v>1</v>
      </c>
      <c r="T209" s="32">
        <v>1</v>
      </c>
      <c r="U209" s="32">
        <v>0</v>
      </c>
      <c r="V209" s="32" t="s">
        <v>96</v>
      </c>
      <c r="W209" s="32" t="s">
        <v>335</v>
      </c>
      <c r="X209" s="32" t="s">
        <v>740</v>
      </c>
    </row>
    <row r="210" spans="1:24" x14ac:dyDescent="0.25">
      <c r="A210" s="32">
        <v>209</v>
      </c>
      <c r="B210" s="32" t="s">
        <v>741</v>
      </c>
      <c r="C210" s="32" t="s">
        <v>15</v>
      </c>
      <c r="D210" s="32" t="s">
        <v>79</v>
      </c>
      <c r="E210" s="32" t="s">
        <v>32</v>
      </c>
      <c r="F210" s="32">
        <v>0</v>
      </c>
      <c r="G210" s="33">
        <v>121</v>
      </c>
      <c r="H210" s="33">
        <v>300000</v>
      </c>
      <c r="I210" s="34">
        <v>0</v>
      </c>
      <c r="J210" s="35">
        <v>46054</v>
      </c>
      <c r="K210" s="36">
        <v>46054</v>
      </c>
      <c r="L210" s="32" t="s">
        <v>25</v>
      </c>
      <c r="M210" s="32" t="s">
        <v>187</v>
      </c>
      <c r="N210" s="32" t="s">
        <v>187</v>
      </c>
      <c r="O210" s="32" t="s">
        <v>113</v>
      </c>
      <c r="P210" s="32" t="s">
        <v>101</v>
      </c>
      <c r="Q210" s="32" t="s">
        <v>95</v>
      </c>
      <c r="R210" s="32">
        <v>0</v>
      </c>
      <c r="S210" s="32">
        <v>1</v>
      </c>
      <c r="T210" s="32">
        <v>2</v>
      </c>
      <c r="U210" s="32">
        <v>1</v>
      </c>
      <c r="V210" s="32" t="s">
        <v>96</v>
      </c>
      <c r="W210" s="32" t="s">
        <v>742</v>
      </c>
      <c r="X210" s="32" t="s">
        <v>743</v>
      </c>
    </row>
    <row r="211" spans="1:24" x14ac:dyDescent="0.25">
      <c r="A211" s="32">
        <v>210</v>
      </c>
      <c r="B211" s="32" t="s">
        <v>741</v>
      </c>
      <c r="C211" s="32" t="s">
        <v>15</v>
      </c>
      <c r="D211" s="32" t="s">
        <v>79</v>
      </c>
      <c r="E211" s="32" t="s">
        <v>32</v>
      </c>
      <c r="F211" s="32">
        <v>0</v>
      </c>
      <c r="G211" s="33">
        <v>63</v>
      </c>
      <c r="H211" s="33">
        <v>300000</v>
      </c>
      <c r="I211" s="34">
        <v>0</v>
      </c>
      <c r="J211" s="35">
        <v>46255</v>
      </c>
      <c r="K211" s="36">
        <v>46235</v>
      </c>
      <c r="L211" s="32" t="s">
        <v>80</v>
      </c>
      <c r="M211" s="32" t="s">
        <v>81</v>
      </c>
      <c r="N211" s="32" t="s">
        <v>174</v>
      </c>
      <c r="O211" s="32" t="s">
        <v>113</v>
      </c>
      <c r="P211" s="32" t="s">
        <v>101</v>
      </c>
      <c r="Q211" s="32" t="s">
        <v>137</v>
      </c>
      <c r="R211" s="32">
        <v>0</v>
      </c>
      <c r="S211" s="32">
        <v>2</v>
      </c>
      <c r="T211" s="32">
        <v>2</v>
      </c>
      <c r="U211" s="32">
        <v>1</v>
      </c>
      <c r="V211" s="32" t="s">
        <v>96</v>
      </c>
      <c r="W211" s="32" t="s">
        <v>264</v>
      </c>
      <c r="X211" s="32" t="s">
        <v>744</v>
      </c>
    </row>
    <row r="212" spans="1:24" x14ac:dyDescent="0.25">
      <c r="A212" s="32">
        <v>211</v>
      </c>
      <c r="B212" s="32" t="s">
        <v>745</v>
      </c>
      <c r="C212" s="32" t="s">
        <v>20</v>
      </c>
      <c r="D212" s="32" t="s">
        <v>79</v>
      </c>
      <c r="E212" s="32" t="s">
        <v>32</v>
      </c>
      <c r="F212" s="32">
        <v>0</v>
      </c>
      <c r="G212" s="33">
        <v>382</v>
      </c>
      <c r="H212" s="33">
        <v>135000</v>
      </c>
      <c r="I212" s="34">
        <v>3.0000000000000001E-3</v>
      </c>
      <c r="J212" s="35">
        <v>46254</v>
      </c>
      <c r="K212" s="36">
        <v>46235</v>
      </c>
      <c r="L212" s="32" t="s">
        <v>80</v>
      </c>
      <c r="M212" s="32" t="s">
        <v>81</v>
      </c>
      <c r="N212" s="32" t="s">
        <v>746</v>
      </c>
      <c r="O212" s="32" t="s">
        <v>113</v>
      </c>
      <c r="P212" s="32" t="s">
        <v>101</v>
      </c>
      <c r="Q212" s="32" t="s">
        <v>95</v>
      </c>
      <c r="R212" s="32">
        <v>0</v>
      </c>
      <c r="S212" s="32">
        <v>1</v>
      </c>
      <c r="T212" s="32">
        <v>1</v>
      </c>
      <c r="U212" s="32">
        <v>0</v>
      </c>
      <c r="V212" s="32" t="s">
        <v>86</v>
      </c>
      <c r="W212" s="32" t="s">
        <v>87</v>
      </c>
      <c r="X212" s="32" t="s">
        <v>322</v>
      </c>
    </row>
    <row r="213" spans="1:24" x14ac:dyDescent="0.25">
      <c r="A213" s="32">
        <v>212</v>
      </c>
      <c r="B213" s="32" t="s">
        <v>747</v>
      </c>
      <c r="C213" s="32" t="s">
        <v>2</v>
      </c>
      <c r="D213" s="32" t="s">
        <v>79</v>
      </c>
      <c r="E213" s="32" t="s">
        <v>36</v>
      </c>
      <c r="F213" s="32">
        <v>0</v>
      </c>
      <c r="G213" s="33">
        <v>4000</v>
      </c>
      <c r="H213" s="33">
        <v>40000</v>
      </c>
      <c r="I213" s="34">
        <v>0.1</v>
      </c>
      <c r="J213" s="35">
        <v>46270</v>
      </c>
      <c r="K213" s="36">
        <v>46266</v>
      </c>
      <c r="L213" s="32" t="s">
        <v>80</v>
      </c>
      <c r="M213" s="32" t="s">
        <v>151</v>
      </c>
      <c r="N213" s="32" t="s">
        <v>748</v>
      </c>
      <c r="O213" s="32" t="s">
        <v>83</v>
      </c>
      <c r="P213" s="32" t="s">
        <v>119</v>
      </c>
      <c r="Q213" s="32" t="s">
        <v>102</v>
      </c>
      <c r="R213" s="32">
        <v>0</v>
      </c>
      <c r="S213" s="32">
        <v>1</v>
      </c>
      <c r="T213" s="32">
        <v>1</v>
      </c>
      <c r="U213" s="32">
        <v>0</v>
      </c>
      <c r="V213" s="32" t="s">
        <v>96</v>
      </c>
      <c r="W213" s="32" t="s">
        <v>749</v>
      </c>
      <c r="X213" s="32" t="s">
        <v>750</v>
      </c>
    </row>
    <row r="214" spans="1:24" x14ac:dyDescent="0.25">
      <c r="A214" s="32">
        <v>213</v>
      </c>
      <c r="B214" s="32" t="s">
        <v>751</v>
      </c>
      <c r="C214" s="32" t="s">
        <v>20</v>
      </c>
      <c r="D214" s="32" t="s">
        <v>79</v>
      </c>
      <c r="E214" s="32" t="s">
        <v>32</v>
      </c>
      <c r="F214" s="32">
        <v>0</v>
      </c>
      <c r="G214" s="33">
        <v>61</v>
      </c>
      <c r="H214" s="33">
        <v>64000</v>
      </c>
      <c r="I214" s="34">
        <v>1E-3</v>
      </c>
      <c r="J214" s="35">
        <v>46273</v>
      </c>
      <c r="K214" s="36">
        <v>46266</v>
      </c>
      <c r="L214" s="32" t="s">
        <v>80</v>
      </c>
      <c r="M214" s="32" t="s">
        <v>151</v>
      </c>
      <c r="N214" s="32" t="s">
        <v>434</v>
      </c>
      <c r="O214" s="32" t="s">
        <v>160</v>
      </c>
      <c r="P214" s="32" t="s">
        <v>101</v>
      </c>
      <c r="Q214" s="32" t="s">
        <v>137</v>
      </c>
      <c r="R214" s="32">
        <v>0</v>
      </c>
      <c r="S214" s="32">
        <v>1</v>
      </c>
      <c r="T214" s="32">
        <v>1</v>
      </c>
      <c r="U214" s="32">
        <v>0</v>
      </c>
      <c r="V214" s="32" t="s">
        <v>96</v>
      </c>
      <c r="W214" s="32" t="s">
        <v>351</v>
      </c>
      <c r="X214" s="32" t="s">
        <v>752</v>
      </c>
    </row>
    <row r="215" spans="1:24" x14ac:dyDescent="0.25">
      <c r="A215" s="32">
        <v>214</v>
      </c>
      <c r="B215" s="32" t="s">
        <v>753</v>
      </c>
      <c r="C215" s="32" t="s">
        <v>17</v>
      </c>
      <c r="D215" s="32" t="s">
        <v>79</v>
      </c>
      <c r="E215" s="32" t="s">
        <v>32</v>
      </c>
      <c r="F215" s="32">
        <v>0</v>
      </c>
      <c r="G215" s="33">
        <v>78</v>
      </c>
      <c r="H215" s="33">
        <v>6000</v>
      </c>
      <c r="I215" s="34">
        <v>1.2999999999999999E-2</v>
      </c>
      <c r="J215" s="35">
        <v>46261</v>
      </c>
      <c r="K215" s="36">
        <v>46235</v>
      </c>
      <c r="L215" s="32" t="s">
        <v>80</v>
      </c>
      <c r="M215" s="32" t="s">
        <v>81</v>
      </c>
      <c r="N215" s="32" t="s">
        <v>754</v>
      </c>
      <c r="O215" s="32" t="s">
        <v>125</v>
      </c>
      <c r="P215" s="32" t="s">
        <v>101</v>
      </c>
      <c r="Q215" s="32" t="s">
        <v>137</v>
      </c>
      <c r="R215" s="32">
        <v>0</v>
      </c>
      <c r="S215" s="32">
        <v>1</v>
      </c>
      <c r="T215" s="32">
        <v>1</v>
      </c>
      <c r="U215" s="32">
        <v>0</v>
      </c>
      <c r="V215" s="32" t="s">
        <v>86</v>
      </c>
      <c r="W215" s="32" t="s">
        <v>87</v>
      </c>
      <c r="X215" s="32" t="s">
        <v>88</v>
      </c>
    </row>
    <row r="216" spans="1:24" x14ac:dyDescent="0.25">
      <c r="A216" s="32">
        <v>215</v>
      </c>
      <c r="B216" s="32" t="s">
        <v>755</v>
      </c>
      <c r="C216" s="32" t="s">
        <v>7</v>
      </c>
      <c r="D216" s="32" t="s">
        <v>79</v>
      </c>
      <c r="E216" s="32" t="s">
        <v>36</v>
      </c>
      <c r="F216" s="32">
        <v>0</v>
      </c>
      <c r="G216" s="33">
        <v>110</v>
      </c>
      <c r="H216" s="33">
        <v>28000</v>
      </c>
      <c r="I216" s="34">
        <v>4.0000000000000001E-3</v>
      </c>
      <c r="J216" s="35">
        <v>46198</v>
      </c>
      <c r="K216" s="36">
        <v>46174</v>
      </c>
      <c r="L216" s="32" t="s">
        <v>80</v>
      </c>
      <c r="M216" s="32" t="s">
        <v>194</v>
      </c>
      <c r="N216" s="32" t="s">
        <v>263</v>
      </c>
      <c r="O216" s="32" t="s">
        <v>83</v>
      </c>
      <c r="P216" s="32" t="s">
        <v>101</v>
      </c>
      <c r="Q216" s="32" t="s">
        <v>95</v>
      </c>
      <c r="R216" s="32">
        <v>0</v>
      </c>
      <c r="S216" s="32">
        <v>1</v>
      </c>
      <c r="T216" s="32">
        <v>1</v>
      </c>
      <c r="U216" s="32">
        <v>0</v>
      </c>
      <c r="V216" s="32" t="s">
        <v>96</v>
      </c>
      <c r="W216" s="32" t="s">
        <v>756</v>
      </c>
      <c r="X216" s="32" t="s">
        <v>757</v>
      </c>
    </row>
    <row r="217" spans="1:24" x14ac:dyDescent="0.25">
      <c r="A217" s="32">
        <v>216</v>
      </c>
      <c r="B217" s="32" t="s">
        <v>758</v>
      </c>
      <c r="C217" s="32" t="s">
        <v>17</v>
      </c>
      <c r="D217" s="32" t="s">
        <v>79</v>
      </c>
      <c r="E217" s="32" t="s">
        <v>32</v>
      </c>
      <c r="F217" s="32">
        <v>0</v>
      </c>
      <c r="G217" s="33">
        <v>56</v>
      </c>
      <c r="H217" s="33">
        <v>138200</v>
      </c>
      <c r="I217" s="34">
        <v>0</v>
      </c>
      <c r="J217" s="35">
        <v>46169</v>
      </c>
      <c r="K217" s="36">
        <v>46143</v>
      </c>
      <c r="L217" s="32" t="s">
        <v>80</v>
      </c>
      <c r="M217" s="32" t="s">
        <v>91</v>
      </c>
      <c r="N217" s="32" t="s">
        <v>251</v>
      </c>
      <c r="O217" s="32" t="s">
        <v>113</v>
      </c>
      <c r="P217" s="32" t="s">
        <v>101</v>
      </c>
      <c r="Q217" s="32" t="s">
        <v>137</v>
      </c>
      <c r="R217" s="32">
        <v>0</v>
      </c>
      <c r="S217" s="32">
        <v>1</v>
      </c>
      <c r="T217" s="32">
        <v>2</v>
      </c>
      <c r="U217" s="32">
        <v>1</v>
      </c>
      <c r="V217" s="32" t="s">
        <v>96</v>
      </c>
      <c r="W217" s="32" t="s">
        <v>759</v>
      </c>
      <c r="X217" s="32" t="s">
        <v>760</v>
      </c>
    </row>
    <row r="218" spans="1:24" x14ac:dyDescent="0.25">
      <c r="A218" s="32">
        <v>217</v>
      </c>
      <c r="B218" s="32" t="s">
        <v>758</v>
      </c>
      <c r="C218" s="32" t="s">
        <v>17</v>
      </c>
      <c r="D218" s="32" t="s">
        <v>79</v>
      </c>
      <c r="E218" s="32" t="s">
        <v>32</v>
      </c>
      <c r="F218" s="32">
        <v>0</v>
      </c>
      <c r="G218" s="33">
        <v>87</v>
      </c>
      <c r="H218" s="33">
        <v>138200</v>
      </c>
      <c r="I218" s="34">
        <v>1E-3</v>
      </c>
      <c r="J218" s="35">
        <v>46286</v>
      </c>
      <c r="K218" s="36">
        <v>46266</v>
      </c>
      <c r="L218" s="32" t="s">
        <v>80</v>
      </c>
      <c r="M218" s="32" t="s">
        <v>151</v>
      </c>
      <c r="N218" s="32" t="s">
        <v>761</v>
      </c>
      <c r="O218" s="32" t="s">
        <v>113</v>
      </c>
      <c r="P218" s="32" t="s">
        <v>101</v>
      </c>
      <c r="Q218" s="32" t="s">
        <v>137</v>
      </c>
      <c r="R218" s="32">
        <v>0</v>
      </c>
      <c r="S218" s="32">
        <v>2</v>
      </c>
      <c r="T218" s="32">
        <v>2</v>
      </c>
      <c r="U218" s="32">
        <v>1</v>
      </c>
      <c r="V218" s="32" t="s">
        <v>86</v>
      </c>
      <c r="W218" s="32" t="s">
        <v>311</v>
      </c>
      <c r="X218" s="32" t="s">
        <v>312</v>
      </c>
    </row>
    <row r="219" spans="1:24" x14ac:dyDescent="0.25">
      <c r="A219" s="32">
        <v>218</v>
      </c>
      <c r="B219" s="32" t="s">
        <v>762</v>
      </c>
      <c r="C219" s="32" t="s">
        <v>15</v>
      </c>
      <c r="D219" s="32" t="s">
        <v>79</v>
      </c>
      <c r="E219" s="32" t="s">
        <v>37</v>
      </c>
      <c r="F219" s="32">
        <v>0</v>
      </c>
      <c r="G219" s="33">
        <v>300</v>
      </c>
      <c r="H219" s="33">
        <v>1300</v>
      </c>
      <c r="I219" s="34">
        <v>0.23100000000000001</v>
      </c>
      <c r="J219" s="35">
        <v>46294</v>
      </c>
      <c r="K219" s="36">
        <v>46266</v>
      </c>
      <c r="L219" s="32" t="s">
        <v>80</v>
      </c>
      <c r="M219" s="32" t="s">
        <v>151</v>
      </c>
      <c r="N219" s="32" t="s">
        <v>489</v>
      </c>
      <c r="O219" s="32" t="s">
        <v>125</v>
      </c>
      <c r="P219" s="32" t="s">
        <v>119</v>
      </c>
      <c r="Q219" s="32" t="s">
        <v>95</v>
      </c>
      <c r="R219" s="32">
        <v>0</v>
      </c>
      <c r="S219" s="32">
        <v>1</v>
      </c>
      <c r="T219" s="32">
        <v>1</v>
      </c>
      <c r="U219" s="32">
        <v>0</v>
      </c>
      <c r="V219" s="32" t="s">
        <v>96</v>
      </c>
      <c r="W219" s="32" t="s">
        <v>763</v>
      </c>
      <c r="X219" s="32" t="s">
        <v>764</v>
      </c>
    </row>
    <row r="220" spans="1:24" x14ac:dyDescent="0.25">
      <c r="A220" s="32">
        <v>219</v>
      </c>
      <c r="B220" s="32" t="s">
        <v>765</v>
      </c>
      <c r="C220" s="32" t="s">
        <v>15</v>
      </c>
      <c r="D220" s="32" t="s">
        <v>79</v>
      </c>
      <c r="E220" s="32" t="s">
        <v>32</v>
      </c>
      <c r="F220" s="32">
        <v>0</v>
      </c>
      <c r="G220" s="33">
        <v>150</v>
      </c>
      <c r="H220" s="33">
        <v>3400</v>
      </c>
      <c r="I220" s="34">
        <v>4.3999999999999997E-2</v>
      </c>
      <c r="J220" s="35">
        <v>46219</v>
      </c>
      <c r="K220" s="36">
        <v>46204</v>
      </c>
      <c r="L220" s="32" t="s">
        <v>80</v>
      </c>
      <c r="M220" s="32" t="s">
        <v>123</v>
      </c>
      <c r="N220" s="32" t="s">
        <v>124</v>
      </c>
      <c r="O220" s="32" t="s">
        <v>125</v>
      </c>
      <c r="P220" s="32" t="s">
        <v>101</v>
      </c>
      <c r="Q220" s="32" t="s">
        <v>95</v>
      </c>
      <c r="R220" s="32">
        <v>0</v>
      </c>
      <c r="S220" s="32">
        <v>1</v>
      </c>
      <c r="T220" s="32">
        <v>1</v>
      </c>
      <c r="U220" s="32">
        <v>0</v>
      </c>
      <c r="V220" s="32" t="s">
        <v>96</v>
      </c>
      <c r="W220" s="32" t="s">
        <v>766</v>
      </c>
      <c r="X220" s="32" t="s">
        <v>767</v>
      </c>
    </row>
    <row r="221" spans="1:24" x14ac:dyDescent="0.25">
      <c r="A221" s="32">
        <v>220</v>
      </c>
      <c r="B221" s="32" t="s">
        <v>768</v>
      </c>
      <c r="C221" s="32" t="s">
        <v>15</v>
      </c>
      <c r="D221" s="32" t="s">
        <v>79</v>
      </c>
      <c r="E221" s="32" t="s">
        <v>32</v>
      </c>
      <c r="F221" s="32">
        <v>0</v>
      </c>
      <c r="G221" s="33">
        <v>387</v>
      </c>
      <c r="H221" s="33">
        <v>10000</v>
      </c>
      <c r="I221" s="34">
        <v>3.9E-2</v>
      </c>
      <c r="J221" s="35">
        <v>46258</v>
      </c>
      <c r="K221" s="36">
        <v>46235</v>
      </c>
      <c r="L221" s="32" t="s">
        <v>80</v>
      </c>
      <c r="M221" s="32" t="s">
        <v>81</v>
      </c>
      <c r="N221" s="32" t="s">
        <v>769</v>
      </c>
      <c r="O221" s="32" t="s">
        <v>83</v>
      </c>
      <c r="P221" s="32" t="s">
        <v>101</v>
      </c>
      <c r="Q221" s="32" t="s">
        <v>95</v>
      </c>
      <c r="R221" s="32">
        <v>0</v>
      </c>
      <c r="S221" s="32">
        <v>1</v>
      </c>
      <c r="T221" s="32">
        <v>1</v>
      </c>
      <c r="U221" s="32">
        <v>0</v>
      </c>
      <c r="V221" s="32" t="s">
        <v>96</v>
      </c>
      <c r="W221" s="32" t="s">
        <v>770</v>
      </c>
      <c r="X221" s="32" t="s">
        <v>771</v>
      </c>
    </row>
    <row r="222" spans="1:24" x14ac:dyDescent="0.25">
      <c r="A222" s="32">
        <v>221</v>
      </c>
      <c r="B222" s="32" t="s">
        <v>772</v>
      </c>
      <c r="C222" s="32" t="s">
        <v>15</v>
      </c>
      <c r="D222" s="32" t="s">
        <v>79</v>
      </c>
      <c r="E222" s="32" t="s">
        <v>36</v>
      </c>
      <c r="F222" s="32">
        <v>0</v>
      </c>
      <c r="G222" s="33">
        <v>600</v>
      </c>
      <c r="H222" s="33">
        <v>7100</v>
      </c>
      <c r="I222" s="34">
        <v>8.5000000000000006E-2</v>
      </c>
      <c r="J222" s="35">
        <v>46108</v>
      </c>
      <c r="K222" s="36">
        <v>46082</v>
      </c>
      <c r="L222" s="32" t="s">
        <v>80</v>
      </c>
      <c r="M222" s="32" t="s">
        <v>106</v>
      </c>
      <c r="N222" s="32" t="s">
        <v>773</v>
      </c>
      <c r="O222" s="32" t="s">
        <v>125</v>
      </c>
      <c r="P222" s="32" t="s">
        <v>84</v>
      </c>
      <c r="Q222" s="32" t="s">
        <v>85</v>
      </c>
      <c r="R222" s="32">
        <v>0</v>
      </c>
      <c r="S222" s="32">
        <v>1</v>
      </c>
      <c r="T222" s="32">
        <v>2</v>
      </c>
      <c r="U222" s="32">
        <v>1</v>
      </c>
      <c r="V222" s="32" t="s">
        <v>96</v>
      </c>
      <c r="W222" s="32" t="s">
        <v>774</v>
      </c>
      <c r="X222" s="32" t="s">
        <v>775</v>
      </c>
    </row>
    <row r="223" spans="1:24" x14ac:dyDescent="0.25">
      <c r="A223" s="32">
        <v>222</v>
      </c>
      <c r="B223" s="32" t="s">
        <v>772</v>
      </c>
      <c r="C223" s="32" t="s">
        <v>15</v>
      </c>
      <c r="D223" s="32" t="s">
        <v>79</v>
      </c>
      <c r="E223" s="32" t="s">
        <v>34</v>
      </c>
      <c r="F223" s="32">
        <v>0</v>
      </c>
      <c r="G223" s="33">
        <v>200</v>
      </c>
      <c r="H223" s="33">
        <v>15800</v>
      </c>
      <c r="I223" s="34">
        <v>1.2999999999999999E-2</v>
      </c>
      <c r="J223" s="35">
        <v>46280</v>
      </c>
      <c r="K223" s="36">
        <v>46266</v>
      </c>
      <c r="L223" s="32" t="s">
        <v>80</v>
      </c>
      <c r="M223" s="32" t="s">
        <v>151</v>
      </c>
      <c r="N223" s="32" t="s">
        <v>239</v>
      </c>
      <c r="O223" s="32" t="s">
        <v>83</v>
      </c>
      <c r="P223" s="32" t="s">
        <v>101</v>
      </c>
      <c r="Q223" s="32" t="s">
        <v>95</v>
      </c>
      <c r="R223" s="32">
        <v>0</v>
      </c>
      <c r="S223" s="32">
        <v>2</v>
      </c>
      <c r="T223" s="32">
        <v>2</v>
      </c>
      <c r="U223" s="32">
        <v>1</v>
      </c>
      <c r="V223" s="32" t="s">
        <v>96</v>
      </c>
      <c r="W223" s="32" t="s">
        <v>776</v>
      </c>
      <c r="X223" s="32" t="s">
        <v>777</v>
      </c>
    </row>
    <row r="224" spans="1:24" x14ac:dyDescent="0.25">
      <c r="A224" s="32">
        <v>223</v>
      </c>
      <c r="B224" s="32" t="s">
        <v>778</v>
      </c>
      <c r="C224" s="32" t="s">
        <v>15</v>
      </c>
      <c r="D224" s="32" t="s">
        <v>79</v>
      </c>
      <c r="E224" s="32" t="s">
        <v>36</v>
      </c>
      <c r="F224" s="32">
        <v>0</v>
      </c>
      <c r="G224" s="33">
        <v>100</v>
      </c>
      <c r="H224" s="33">
        <v>1000</v>
      </c>
      <c r="I224" s="34">
        <v>0.1</v>
      </c>
      <c r="J224" s="35">
        <v>46135</v>
      </c>
      <c r="K224" s="36">
        <v>46113</v>
      </c>
      <c r="L224" s="32" t="s">
        <v>80</v>
      </c>
      <c r="M224" s="32" t="s">
        <v>144</v>
      </c>
      <c r="N224" s="32" t="s">
        <v>779</v>
      </c>
      <c r="O224" s="32" t="s">
        <v>125</v>
      </c>
      <c r="P224" s="32" t="s">
        <v>119</v>
      </c>
      <c r="Q224" s="32" t="s">
        <v>95</v>
      </c>
      <c r="R224" s="32">
        <v>0</v>
      </c>
      <c r="S224" s="32">
        <v>1</v>
      </c>
      <c r="T224" s="32">
        <v>1</v>
      </c>
      <c r="U224" s="32">
        <v>0</v>
      </c>
      <c r="V224" s="32" t="s">
        <v>96</v>
      </c>
      <c r="W224" s="32" t="s">
        <v>780</v>
      </c>
      <c r="X224" s="32" t="s">
        <v>781</v>
      </c>
    </row>
    <row r="225" spans="1:24" x14ac:dyDescent="0.25">
      <c r="A225" s="32">
        <v>224</v>
      </c>
      <c r="B225" s="32" t="s">
        <v>782</v>
      </c>
      <c r="C225" s="32" t="s">
        <v>17</v>
      </c>
      <c r="D225" s="32" t="s">
        <v>79</v>
      </c>
      <c r="E225" s="32" t="s">
        <v>32</v>
      </c>
      <c r="F225" s="32">
        <v>0</v>
      </c>
      <c r="G225" s="33">
        <v>147</v>
      </c>
      <c r="H225" s="33">
        <v>225854</v>
      </c>
      <c r="I225" s="34">
        <v>1E-3</v>
      </c>
      <c r="J225" s="35">
        <v>46286</v>
      </c>
      <c r="K225" s="36">
        <v>46266</v>
      </c>
      <c r="L225" s="32" t="s">
        <v>80</v>
      </c>
      <c r="M225" s="32" t="s">
        <v>151</v>
      </c>
      <c r="N225" s="32" t="s">
        <v>761</v>
      </c>
      <c r="O225" s="32" t="s">
        <v>113</v>
      </c>
      <c r="P225" s="32" t="s">
        <v>101</v>
      </c>
      <c r="Q225" s="32" t="s">
        <v>95</v>
      </c>
      <c r="R225" s="32">
        <v>0</v>
      </c>
      <c r="S225" s="32">
        <v>1</v>
      </c>
      <c r="T225" s="32">
        <v>1</v>
      </c>
      <c r="U225" s="32">
        <v>0</v>
      </c>
      <c r="V225" s="32" t="s">
        <v>96</v>
      </c>
      <c r="W225" s="32" t="s">
        <v>644</v>
      </c>
      <c r="X225" s="32" t="s">
        <v>783</v>
      </c>
    </row>
    <row r="226" spans="1:24" x14ac:dyDescent="0.25">
      <c r="A226" s="32">
        <v>225</v>
      </c>
      <c r="B226" s="32" t="s">
        <v>784</v>
      </c>
      <c r="C226" s="32" t="s">
        <v>20</v>
      </c>
      <c r="D226" s="32" t="s">
        <v>79</v>
      </c>
      <c r="E226" s="32" t="s">
        <v>32</v>
      </c>
      <c r="F226" s="32">
        <v>0</v>
      </c>
      <c r="G226" s="33">
        <v>112</v>
      </c>
      <c r="H226" s="33">
        <v>24000</v>
      </c>
      <c r="I226" s="34">
        <v>5.0000000000000001E-3</v>
      </c>
      <c r="J226" s="35">
        <v>46269</v>
      </c>
      <c r="K226" s="36">
        <v>46266</v>
      </c>
      <c r="L226" s="32" t="s">
        <v>80</v>
      </c>
      <c r="M226" s="32" t="s">
        <v>151</v>
      </c>
      <c r="N226" s="32" t="s">
        <v>495</v>
      </c>
      <c r="O226" s="32" t="s">
        <v>83</v>
      </c>
      <c r="P226" s="32" t="s">
        <v>101</v>
      </c>
      <c r="Q226" s="32" t="s">
        <v>95</v>
      </c>
      <c r="R226" s="32">
        <v>0</v>
      </c>
      <c r="S226" s="32">
        <v>1</v>
      </c>
      <c r="T226" s="32">
        <v>1</v>
      </c>
      <c r="U226" s="32">
        <v>0</v>
      </c>
      <c r="V226" s="32" t="s">
        <v>86</v>
      </c>
      <c r="W226" s="32" t="s">
        <v>87</v>
      </c>
      <c r="X226" s="32" t="s">
        <v>88</v>
      </c>
    </row>
    <row r="227" spans="1:24" x14ac:dyDescent="0.25">
      <c r="A227" s="32">
        <v>226</v>
      </c>
      <c r="B227" s="32" t="s">
        <v>785</v>
      </c>
      <c r="C227" s="32" t="s">
        <v>2</v>
      </c>
      <c r="D227" s="32" t="s">
        <v>79</v>
      </c>
      <c r="E227" s="32" t="s">
        <v>32</v>
      </c>
      <c r="F227" s="32">
        <v>0</v>
      </c>
      <c r="G227" s="33">
        <v>52</v>
      </c>
      <c r="H227" s="33">
        <v>7500</v>
      </c>
      <c r="I227" s="34">
        <v>6.9999999999999004E-3</v>
      </c>
      <c r="J227" s="35">
        <v>46274</v>
      </c>
      <c r="K227" s="36">
        <v>46266</v>
      </c>
      <c r="L227" s="32" t="s">
        <v>80</v>
      </c>
      <c r="M227" s="32" t="s">
        <v>151</v>
      </c>
      <c r="N227" s="32" t="s">
        <v>296</v>
      </c>
      <c r="O227" s="32" t="s">
        <v>125</v>
      </c>
      <c r="P227" s="32" t="s">
        <v>101</v>
      </c>
      <c r="Q227" s="32" t="s">
        <v>137</v>
      </c>
      <c r="R227" s="32">
        <v>0</v>
      </c>
      <c r="S227" s="32">
        <v>1</v>
      </c>
      <c r="T227" s="32">
        <v>1</v>
      </c>
      <c r="U227" s="32">
        <v>0</v>
      </c>
      <c r="V227" s="32" t="s">
        <v>96</v>
      </c>
      <c r="W227" s="32" t="s">
        <v>335</v>
      </c>
      <c r="X227" s="32" t="s">
        <v>786</v>
      </c>
    </row>
    <row r="228" spans="1:24" x14ac:dyDescent="0.25">
      <c r="A228" s="32">
        <v>227</v>
      </c>
      <c r="B228" s="32" t="s">
        <v>787</v>
      </c>
      <c r="C228" s="32" t="s">
        <v>31</v>
      </c>
      <c r="D228" s="32" t="s">
        <v>79</v>
      </c>
      <c r="E228" s="32" t="s">
        <v>32</v>
      </c>
      <c r="F228" s="32">
        <v>0</v>
      </c>
      <c r="G228" s="33">
        <v>122</v>
      </c>
      <c r="H228" s="33">
        <v>280000</v>
      </c>
      <c r="I228" s="34">
        <v>0</v>
      </c>
      <c r="J228" s="35">
        <v>46297</v>
      </c>
      <c r="K228" s="36">
        <v>46296</v>
      </c>
      <c r="L228" s="32" t="s">
        <v>80</v>
      </c>
      <c r="M228" s="32" t="s">
        <v>178</v>
      </c>
      <c r="N228" s="32" t="s">
        <v>198</v>
      </c>
      <c r="O228" s="32" t="s">
        <v>113</v>
      </c>
      <c r="P228" s="32" t="s">
        <v>101</v>
      </c>
      <c r="Q228" s="32" t="s">
        <v>95</v>
      </c>
      <c r="R228" s="32">
        <v>0</v>
      </c>
      <c r="S228" s="32">
        <v>1</v>
      </c>
      <c r="T228" s="32">
        <v>1</v>
      </c>
      <c r="U228" s="32">
        <v>0</v>
      </c>
      <c r="V228" s="32" t="s">
        <v>96</v>
      </c>
      <c r="W228" s="32" t="s">
        <v>788</v>
      </c>
      <c r="X228" s="32" t="s">
        <v>789</v>
      </c>
    </row>
    <row r="229" spans="1:24" x14ac:dyDescent="0.25">
      <c r="A229" s="32">
        <v>228</v>
      </c>
      <c r="B229" s="32" t="s">
        <v>790</v>
      </c>
      <c r="C229" s="32" t="s">
        <v>33</v>
      </c>
      <c r="D229" s="32" t="s">
        <v>90</v>
      </c>
      <c r="E229" s="32" t="s">
        <v>32</v>
      </c>
      <c r="F229" s="32">
        <v>0</v>
      </c>
      <c r="G229" s="33">
        <v>10000</v>
      </c>
      <c r="H229" s="33">
        <v>73000</v>
      </c>
      <c r="I229" s="34">
        <v>0.1369999999999999</v>
      </c>
      <c r="J229" s="35">
        <v>46148</v>
      </c>
      <c r="K229" s="36">
        <v>46143</v>
      </c>
      <c r="L229" s="32" t="s">
        <v>80</v>
      </c>
      <c r="M229" s="32" t="s">
        <v>91</v>
      </c>
      <c r="N229" s="32" t="s">
        <v>183</v>
      </c>
      <c r="O229" s="32" t="s">
        <v>160</v>
      </c>
      <c r="P229" s="32" t="s">
        <v>119</v>
      </c>
      <c r="Q229" s="32" t="s">
        <v>114</v>
      </c>
      <c r="R229" s="32">
        <v>0</v>
      </c>
      <c r="S229" s="32">
        <v>1</v>
      </c>
      <c r="T229" s="32">
        <v>1</v>
      </c>
      <c r="U229" s="32">
        <v>0</v>
      </c>
      <c r="V229" s="32" t="s">
        <v>96</v>
      </c>
      <c r="W229" s="32" t="s">
        <v>791</v>
      </c>
      <c r="X229" s="32" t="s">
        <v>792</v>
      </c>
    </row>
    <row r="230" spans="1:24" x14ac:dyDescent="0.25">
      <c r="A230" s="32">
        <v>229</v>
      </c>
      <c r="B230" s="32" t="s">
        <v>793</v>
      </c>
      <c r="C230" s="32" t="s">
        <v>17</v>
      </c>
      <c r="D230" s="32" t="s">
        <v>79</v>
      </c>
      <c r="E230" s="32" t="s">
        <v>36</v>
      </c>
      <c r="F230" s="32">
        <v>0</v>
      </c>
      <c r="G230" s="33">
        <v>225</v>
      </c>
      <c r="H230" s="33">
        <v>7500</v>
      </c>
      <c r="I230" s="34">
        <v>0.03</v>
      </c>
      <c r="J230" s="35">
        <v>46094</v>
      </c>
      <c r="K230" s="36">
        <v>46082</v>
      </c>
      <c r="L230" s="32" t="s">
        <v>80</v>
      </c>
      <c r="M230" s="32" t="s">
        <v>106</v>
      </c>
      <c r="N230" s="32" t="s">
        <v>719</v>
      </c>
      <c r="O230" s="32" t="s">
        <v>125</v>
      </c>
      <c r="P230" s="32" t="s">
        <v>101</v>
      </c>
      <c r="Q230" s="32" t="s">
        <v>95</v>
      </c>
      <c r="R230" s="32">
        <v>0</v>
      </c>
      <c r="S230" s="32">
        <v>1</v>
      </c>
      <c r="T230" s="32">
        <v>1</v>
      </c>
      <c r="U230" s="32">
        <v>0</v>
      </c>
      <c r="V230" s="32" t="s">
        <v>96</v>
      </c>
      <c r="W230" s="32" t="s">
        <v>794</v>
      </c>
      <c r="X230" s="32" t="s">
        <v>795</v>
      </c>
    </row>
    <row r="231" spans="1:24" x14ac:dyDescent="0.25">
      <c r="A231" s="32">
        <v>230</v>
      </c>
      <c r="B231" s="32" t="s">
        <v>796</v>
      </c>
      <c r="C231" s="32" t="s">
        <v>16</v>
      </c>
      <c r="D231" s="32" t="s">
        <v>79</v>
      </c>
      <c r="E231" s="32" t="s">
        <v>32</v>
      </c>
      <c r="F231" s="32">
        <v>0</v>
      </c>
      <c r="G231" s="33">
        <v>284</v>
      </c>
      <c r="H231" s="33">
        <v>600</v>
      </c>
      <c r="I231" s="34">
        <v>0.47299999999999998</v>
      </c>
      <c r="J231" s="35">
        <v>46133</v>
      </c>
      <c r="K231" s="36">
        <v>46113</v>
      </c>
      <c r="L231" s="32" t="s">
        <v>80</v>
      </c>
      <c r="M231" s="32" t="s">
        <v>144</v>
      </c>
      <c r="N231" s="32" t="s">
        <v>145</v>
      </c>
      <c r="O231" s="32" t="s">
        <v>93</v>
      </c>
      <c r="P231" s="32" t="s">
        <v>94</v>
      </c>
      <c r="Q231" s="32" t="s">
        <v>95</v>
      </c>
      <c r="R231" s="32">
        <v>0</v>
      </c>
      <c r="S231" s="32">
        <v>1</v>
      </c>
      <c r="T231" s="32">
        <v>1</v>
      </c>
      <c r="U231" s="32">
        <v>0</v>
      </c>
      <c r="V231" s="32" t="s">
        <v>96</v>
      </c>
      <c r="W231" s="32" t="s">
        <v>797</v>
      </c>
      <c r="X231" s="32" t="s">
        <v>798</v>
      </c>
    </row>
    <row r="232" spans="1:24" x14ac:dyDescent="0.25">
      <c r="A232" s="32">
        <v>231</v>
      </c>
      <c r="B232" s="32" t="s">
        <v>799</v>
      </c>
      <c r="C232" s="32" t="s">
        <v>7</v>
      </c>
      <c r="D232" s="32" t="s">
        <v>79</v>
      </c>
      <c r="E232" s="32" t="s">
        <v>36</v>
      </c>
      <c r="F232" s="32">
        <v>0</v>
      </c>
      <c r="G232" s="33">
        <v>657</v>
      </c>
      <c r="H232" s="33">
        <v>60000</v>
      </c>
      <c r="I232" s="34">
        <v>1.0999999999999999E-2</v>
      </c>
      <c r="J232" s="35">
        <v>46163</v>
      </c>
      <c r="K232" s="36">
        <v>46143</v>
      </c>
      <c r="L232" s="32" t="s">
        <v>80</v>
      </c>
      <c r="M232" s="32" t="s">
        <v>91</v>
      </c>
      <c r="N232" s="32" t="s">
        <v>410</v>
      </c>
      <c r="O232" s="32" t="s">
        <v>160</v>
      </c>
      <c r="P232" s="32" t="s">
        <v>101</v>
      </c>
      <c r="Q232" s="32" t="s">
        <v>85</v>
      </c>
      <c r="R232" s="32">
        <v>0</v>
      </c>
      <c r="S232" s="32">
        <v>1</v>
      </c>
      <c r="T232" s="32">
        <v>1</v>
      </c>
      <c r="U232" s="32">
        <v>0</v>
      </c>
      <c r="V232" s="32" t="s">
        <v>96</v>
      </c>
      <c r="W232" s="32" t="s">
        <v>800</v>
      </c>
      <c r="X232" s="32" t="s">
        <v>801</v>
      </c>
    </row>
    <row r="233" spans="1:24" x14ac:dyDescent="0.25">
      <c r="A233" s="32">
        <v>232</v>
      </c>
      <c r="B233" s="32" t="s">
        <v>802</v>
      </c>
      <c r="C233" s="32" t="s">
        <v>29</v>
      </c>
      <c r="D233" s="32" t="s">
        <v>79</v>
      </c>
      <c r="E233" s="32" t="s">
        <v>32</v>
      </c>
      <c r="F233" s="32">
        <v>0</v>
      </c>
      <c r="G233" s="33">
        <v>200</v>
      </c>
      <c r="H233" s="33">
        <v>300</v>
      </c>
      <c r="I233" s="34">
        <v>0.66700000000000004</v>
      </c>
      <c r="J233" s="35">
        <v>46260</v>
      </c>
      <c r="K233" s="36">
        <v>46235</v>
      </c>
      <c r="L233" s="32" t="s">
        <v>80</v>
      </c>
      <c r="M233" s="32" t="s">
        <v>81</v>
      </c>
      <c r="N233" s="32" t="s">
        <v>803</v>
      </c>
      <c r="O233" s="32" t="s">
        <v>93</v>
      </c>
      <c r="P233" s="32" t="s">
        <v>94</v>
      </c>
      <c r="Q233" s="32" t="s">
        <v>95</v>
      </c>
      <c r="R233" s="32">
        <v>0</v>
      </c>
      <c r="S233" s="32">
        <v>1</v>
      </c>
      <c r="T233" s="32">
        <v>1</v>
      </c>
      <c r="U233" s="32">
        <v>0</v>
      </c>
      <c r="V233" s="32" t="s">
        <v>96</v>
      </c>
      <c r="W233" s="32" t="s">
        <v>804</v>
      </c>
      <c r="X233" s="32" t="s">
        <v>805</v>
      </c>
    </row>
    <row r="234" spans="1:24" x14ac:dyDescent="0.25">
      <c r="A234" s="32">
        <v>233</v>
      </c>
      <c r="B234" s="32" t="s">
        <v>806</v>
      </c>
      <c r="C234" s="32" t="s">
        <v>20</v>
      </c>
      <c r="D234" s="32" t="s">
        <v>79</v>
      </c>
      <c r="E234" s="32" t="s">
        <v>32</v>
      </c>
      <c r="F234" s="32">
        <v>0</v>
      </c>
      <c r="G234" s="33">
        <v>212</v>
      </c>
      <c r="H234" s="33">
        <v>500</v>
      </c>
      <c r="I234" s="34">
        <v>0.42399999999999999</v>
      </c>
      <c r="J234" s="35">
        <v>46210</v>
      </c>
      <c r="K234" s="36">
        <v>46204</v>
      </c>
      <c r="L234" s="32" t="s">
        <v>80</v>
      </c>
      <c r="M234" s="32" t="s">
        <v>123</v>
      </c>
      <c r="N234" s="32" t="s">
        <v>357</v>
      </c>
      <c r="O234" s="32" t="s">
        <v>93</v>
      </c>
      <c r="P234" s="32" t="s">
        <v>94</v>
      </c>
      <c r="Q234" s="32" t="s">
        <v>95</v>
      </c>
      <c r="R234" s="32">
        <v>0</v>
      </c>
      <c r="S234" s="32">
        <v>1</v>
      </c>
      <c r="T234" s="32">
        <v>1</v>
      </c>
      <c r="U234" s="32">
        <v>0</v>
      </c>
      <c r="V234" s="32" t="s">
        <v>86</v>
      </c>
      <c r="W234" s="32" t="s">
        <v>807</v>
      </c>
      <c r="X234" s="32" t="s">
        <v>808</v>
      </c>
    </row>
    <row r="235" spans="1:24" x14ac:dyDescent="0.25">
      <c r="A235" s="32">
        <v>234</v>
      </c>
      <c r="B235" s="32" t="s">
        <v>809</v>
      </c>
      <c r="C235" s="32" t="s">
        <v>15</v>
      </c>
      <c r="D235" s="32" t="s">
        <v>79</v>
      </c>
      <c r="E235" s="32" t="s">
        <v>32</v>
      </c>
      <c r="F235" s="32">
        <v>0</v>
      </c>
      <c r="G235" s="33">
        <v>1000</v>
      </c>
      <c r="H235" s="33">
        <v>10500</v>
      </c>
      <c r="I235" s="34">
        <v>9.5000000000000001E-2</v>
      </c>
      <c r="J235" s="35">
        <v>46288</v>
      </c>
      <c r="K235" s="36">
        <v>46266</v>
      </c>
      <c r="L235" s="32" t="s">
        <v>80</v>
      </c>
      <c r="M235" s="32" t="s">
        <v>151</v>
      </c>
      <c r="N235" s="32" t="s">
        <v>403</v>
      </c>
      <c r="O235" s="32" t="s">
        <v>83</v>
      </c>
      <c r="P235" s="32" t="s">
        <v>84</v>
      </c>
      <c r="Q235" s="32" t="s">
        <v>102</v>
      </c>
      <c r="R235" s="32">
        <v>0</v>
      </c>
      <c r="S235" s="32">
        <v>1</v>
      </c>
      <c r="T235" s="32">
        <v>1</v>
      </c>
      <c r="U235" s="32">
        <v>0</v>
      </c>
      <c r="V235" s="32" t="s">
        <v>96</v>
      </c>
      <c r="W235" s="32" t="s">
        <v>272</v>
      </c>
      <c r="X235" s="32" t="s">
        <v>810</v>
      </c>
    </row>
    <row r="236" spans="1:24" x14ac:dyDescent="0.25">
      <c r="A236" s="32">
        <v>235</v>
      </c>
      <c r="B236" s="32" t="s">
        <v>811</v>
      </c>
      <c r="C236" s="32" t="s">
        <v>33</v>
      </c>
      <c r="D236" s="32" t="s">
        <v>90</v>
      </c>
      <c r="E236" s="32" t="s">
        <v>36</v>
      </c>
      <c r="F236" s="32">
        <v>0</v>
      </c>
      <c r="G236" s="33">
        <v>305</v>
      </c>
      <c r="H236" s="33">
        <v>47000</v>
      </c>
      <c r="I236" s="34">
        <v>6.0000000000000001E-3</v>
      </c>
      <c r="J236" s="35">
        <v>46216</v>
      </c>
      <c r="K236" s="36">
        <v>46204</v>
      </c>
      <c r="L236" s="32" t="s">
        <v>80</v>
      </c>
      <c r="M236" s="32" t="s">
        <v>123</v>
      </c>
      <c r="N236" s="32" t="s">
        <v>812</v>
      </c>
      <c r="O236" s="32" t="s">
        <v>83</v>
      </c>
      <c r="P236" s="32" t="s">
        <v>101</v>
      </c>
      <c r="Q236" s="32" t="s">
        <v>95</v>
      </c>
      <c r="R236" s="32">
        <v>0</v>
      </c>
      <c r="S236" s="32">
        <v>1</v>
      </c>
      <c r="T236" s="32">
        <v>2</v>
      </c>
      <c r="U236" s="32">
        <v>1</v>
      </c>
      <c r="V236" s="32" t="s">
        <v>96</v>
      </c>
      <c r="W236" s="32" t="s">
        <v>813</v>
      </c>
      <c r="X236" s="32" t="s">
        <v>814</v>
      </c>
    </row>
    <row r="237" spans="1:24" x14ac:dyDescent="0.25">
      <c r="A237" s="32">
        <v>236</v>
      </c>
      <c r="B237" s="32" t="s">
        <v>811</v>
      </c>
      <c r="C237" s="32" t="s">
        <v>33</v>
      </c>
      <c r="D237" s="32" t="s">
        <v>90</v>
      </c>
      <c r="E237" s="32" t="s">
        <v>32</v>
      </c>
      <c r="F237" s="32">
        <v>0</v>
      </c>
      <c r="G237" s="33">
        <v>84</v>
      </c>
      <c r="H237" s="33">
        <v>47000</v>
      </c>
      <c r="I237" s="34">
        <v>2E-3</v>
      </c>
      <c r="J237" s="35">
        <v>46293</v>
      </c>
      <c r="K237" s="36">
        <v>46266</v>
      </c>
      <c r="L237" s="32" t="s">
        <v>80</v>
      </c>
      <c r="M237" s="32" t="s">
        <v>151</v>
      </c>
      <c r="N237" s="32" t="s">
        <v>221</v>
      </c>
      <c r="O237" s="32" t="s">
        <v>83</v>
      </c>
      <c r="P237" s="32" t="s">
        <v>101</v>
      </c>
      <c r="Q237" s="32" t="s">
        <v>137</v>
      </c>
      <c r="R237" s="32">
        <v>0</v>
      </c>
      <c r="S237" s="32">
        <v>2</v>
      </c>
      <c r="T237" s="32">
        <v>2</v>
      </c>
      <c r="U237" s="32">
        <v>1</v>
      </c>
      <c r="V237" s="32" t="s">
        <v>96</v>
      </c>
      <c r="W237" s="32" t="s">
        <v>188</v>
      </c>
      <c r="X237" s="32" t="s">
        <v>815</v>
      </c>
    </row>
    <row r="238" spans="1:24" x14ac:dyDescent="0.25">
      <c r="A238" s="32">
        <v>237</v>
      </c>
      <c r="B238" s="32" t="s">
        <v>816</v>
      </c>
      <c r="C238" s="32" t="s">
        <v>31</v>
      </c>
      <c r="D238" s="32" t="s">
        <v>79</v>
      </c>
      <c r="E238" s="32" t="s">
        <v>32</v>
      </c>
      <c r="F238" s="32">
        <v>0</v>
      </c>
      <c r="G238" s="33">
        <v>303</v>
      </c>
      <c r="H238" s="33">
        <v>19000</v>
      </c>
      <c r="I238" s="34">
        <v>1.6E-2</v>
      </c>
      <c r="J238" s="35">
        <v>46211</v>
      </c>
      <c r="K238" s="36">
        <v>46204</v>
      </c>
      <c r="L238" s="32" t="s">
        <v>80</v>
      </c>
      <c r="M238" s="32" t="s">
        <v>123</v>
      </c>
      <c r="N238" s="32" t="s">
        <v>817</v>
      </c>
      <c r="O238" s="32" t="s">
        <v>83</v>
      </c>
      <c r="P238" s="32" t="s">
        <v>101</v>
      </c>
      <c r="Q238" s="32" t="s">
        <v>95</v>
      </c>
      <c r="R238" s="32">
        <v>0</v>
      </c>
      <c r="S238" s="32">
        <v>1</v>
      </c>
      <c r="T238" s="32">
        <v>1</v>
      </c>
      <c r="U238" s="32">
        <v>0</v>
      </c>
      <c r="V238" s="32" t="s">
        <v>96</v>
      </c>
      <c r="W238" s="32" t="s">
        <v>153</v>
      </c>
      <c r="X238" s="32" t="s">
        <v>818</v>
      </c>
    </row>
    <row r="239" spans="1:24" x14ac:dyDescent="0.25">
      <c r="A239" s="32">
        <v>238</v>
      </c>
      <c r="B239" s="32" t="s">
        <v>819</v>
      </c>
      <c r="C239" s="32" t="s">
        <v>33</v>
      </c>
      <c r="D239" s="32" t="s">
        <v>90</v>
      </c>
      <c r="E239" s="32" t="s">
        <v>30</v>
      </c>
      <c r="F239" s="32">
        <v>1</v>
      </c>
      <c r="G239" s="33">
        <v>75</v>
      </c>
      <c r="H239" s="33">
        <v>440</v>
      </c>
      <c r="I239" s="34">
        <v>0.17</v>
      </c>
      <c r="J239" s="35">
        <v>46169</v>
      </c>
      <c r="K239" s="36">
        <v>46143</v>
      </c>
      <c r="L239" s="32" t="s">
        <v>80</v>
      </c>
      <c r="M239" s="32" t="s">
        <v>91</v>
      </c>
      <c r="N239" s="32" t="s">
        <v>251</v>
      </c>
      <c r="O239" s="32" t="s">
        <v>93</v>
      </c>
      <c r="P239" s="32" t="s">
        <v>119</v>
      </c>
      <c r="Q239" s="32" t="s">
        <v>137</v>
      </c>
      <c r="R239" s="32">
        <v>0</v>
      </c>
      <c r="S239" s="32">
        <v>1</v>
      </c>
      <c r="T239" s="32">
        <v>1</v>
      </c>
      <c r="U239" s="32">
        <v>0</v>
      </c>
      <c r="V239" s="32" t="s">
        <v>96</v>
      </c>
      <c r="W239" s="32" t="s">
        <v>97</v>
      </c>
      <c r="X239" s="32" t="s">
        <v>820</v>
      </c>
    </row>
    <row r="240" spans="1:24" x14ac:dyDescent="0.25">
      <c r="A240" s="32">
        <v>239</v>
      </c>
      <c r="B240" s="32" t="s">
        <v>821</v>
      </c>
      <c r="C240" s="32" t="s">
        <v>33</v>
      </c>
      <c r="D240" s="32" t="s">
        <v>90</v>
      </c>
      <c r="E240" s="32" t="s">
        <v>30</v>
      </c>
      <c r="F240" s="32">
        <v>1</v>
      </c>
      <c r="G240" s="33">
        <v>875</v>
      </c>
      <c r="H240" s="33">
        <v>17500</v>
      </c>
      <c r="I240" s="34">
        <v>0.05</v>
      </c>
      <c r="J240" s="35">
        <v>46155</v>
      </c>
      <c r="K240" s="36">
        <v>46143</v>
      </c>
      <c r="L240" s="32" t="s">
        <v>80</v>
      </c>
      <c r="M240" s="32" t="s">
        <v>91</v>
      </c>
      <c r="N240" s="32" t="s">
        <v>394</v>
      </c>
      <c r="O240" s="32" t="s">
        <v>83</v>
      </c>
      <c r="P240" s="32" t="s">
        <v>84</v>
      </c>
      <c r="Q240" s="32" t="s">
        <v>85</v>
      </c>
      <c r="R240" s="32">
        <v>0</v>
      </c>
      <c r="S240" s="32">
        <v>1</v>
      </c>
      <c r="T240" s="32">
        <v>1</v>
      </c>
      <c r="U240" s="32">
        <v>0</v>
      </c>
      <c r="V240" s="32" t="s">
        <v>96</v>
      </c>
      <c r="W240" s="32" t="s">
        <v>477</v>
      </c>
      <c r="X240" s="32" t="s">
        <v>822</v>
      </c>
    </row>
    <row r="241" spans="1:24" x14ac:dyDescent="0.25">
      <c r="A241" s="32">
        <v>240</v>
      </c>
      <c r="B241" s="32" t="s">
        <v>823</v>
      </c>
      <c r="C241" s="32" t="s">
        <v>29</v>
      </c>
      <c r="D241" s="32" t="s">
        <v>79</v>
      </c>
      <c r="E241" s="32" t="s">
        <v>36</v>
      </c>
      <c r="F241" s="32">
        <v>0</v>
      </c>
      <c r="G241" s="33">
        <v>20</v>
      </c>
      <c r="H241" s="33">
        <v>300</v>
      </c>
      <c r="I241" s="34">
        <v>6.7000000000000004E-2</v>
      </c>
      <c r="J241" s="35">
        <v>46169</v>
      </c>
      <c r="K241" s="36">
        <v>46143</v>
      </c>
      <c r="L241" s="32" t="s">
        <v>80</v>
      </c>
      <c r="M241" s="32" t="s">
        <v>91</v>
      </c>
      <c r="N241" s="32" t="s">
        <v>251</v>
      </c>
      <c r="O241" s="32" t="s">
        <v>93</v>
      </c>
      <c r="P241" s="32" t="s">
        <v>84</v>
      </c>
      <c r="Q241" s="32" t="s">
        <v>137</v>
      </c>
      <c r="R241" s="32">
        <v>0</v>
      </c>
      <c r="S241" s="32">
        <v>1</v>
      </c>
      <c r="T241" s="32">
        <v>1</v>
      </c>
      <c r="U241" s="32">
        <v>0</v>
      </c>
      <c r="V241" s="32" t="s">
        <v>96</v>
      </c>
      <c r="W241" s="32" t="s">
        <v>824</v>
      </c>
      <c r="X241" s="32" t="s">
        <v>825</v>
      </c>
    </row>
    <row r="242" spans="1:24" x14ac:dyDescent="0.25">
      <c r="A242" s="32">
        <v>241</v>
      </c>
      <c r="B242" s="32" t="s">
        <v>826</v>
      </c>
      <c r="C242" s="32" t="s">
        <v>20</v>
      </c>
      <c r="D242" s="32" t="s">
        <v>79</v>
      </c>
      <c r="E242" s="32" t="s">
        <v>34</v>
      </c>
      <c r="F242" s="32">
        <v>0</v>
      </c>
      <c r="G242" s="33">
        <v>150</v>
      </c>
      <c r="H242" s="33">
        <v>4300</v>
      </c>
      <c r="I242" s="34">
        <v>3.5000000000000003E-2</v>
      </c>
      <c r="J242" s="35">
        <v>46266</v>
      </c>
      <c r="K242" s="36">
        <v>46266</v>
      </c>
      <c r="L242" s="32" t="s">
        <v>80</v>
      </c>
      <c r="M242" s="32" t="s">
        <v>151</v>
      </c>
      <c r="N242" s="32" t="s">
        <v>373</v>
      </c>
      <c r="O242" s="32" t="s">
        <v>125</v>
      </c>
      <c r="P242" s="32" t="s">
        <v>101</v>
      </c>
      <c r="Q242" s="32" t="s">
        <v>95</v>
      </c>
      <c r="R242" s="32">
        <v>0</v>
      </c>
      <c r="S242" s="32">
        <v>1</v>
      </c>
      <c r="T242" s="32">
        <v>1</v>
      </c>
      <c r="U242" s="32">
        <v>0</v>
      </c>
      <c r="V242" s="32" t="s">
        <v>96</v>
      </c>
      <c r="W242" s="32" t="s">
        <v>827</v>
      </c>
      <c r="X242" s="32" t="s">
        <v>828</v>
      </c>
    </row>
    <row r="243" spans="1:24" x14ac:dyDescent="0.25">
      <c r="A243" s="32">
        <v>242</v>
      </c>
      <c r="B243" s="32" t="s">
        <v>829</v>
      </c>
      <c r="C243" s="32" t="s">
        <v>2</v>
      </c>
      <c r="D243" s="32" t="s">
        <v>79</v>
      </c>
      <c r="E243" s="32" t="s">
        <v>36</v>
      </c>
      <c r="F243" s="32">
        <v>0</v>
      </c>
      <c r="G243" s="33">
        <v>319</v>
      </c>
      <c r="H243" s="33">
        <v>6800</v>
      </c>
      <c r="I243" s="34">
        <v>4.7E-2</v>
      </c>
      <c r="J243" s="35">
        <v>46133</v>
      </c>
      <c r="K243" s="36">
        <v>46113</v>
      </c>
      <c r="L243" s="32" t="s">
        <v>80</v>
      </c>
      <c r="M243" s="32" t="s">
        <v>144</v>
      </c>
      <c r="N243" s="32" t="s">
        <v>145</v>
      </c>
      <c r="O243" s="32" t="s">
        <v>125</v>
      </c>
      <c r="P243" s="32" t="s">
        <v>101</v>
      </c>
      <c r="Q243" s="32" t="s">
        <v>95</v>
      </c>
      <c r="R243" s="32">
        <v>0</v>
      </c>
      <c r="S243" s="32">
        <v>1</v>
      </c>
      <c r="T243" s="32">
        <v>2</v>
      </c>
      <c r="U243" s="32">
        <v>1</v>
      </c>
      <c r="V243" s="32" t="s">
        <v>96</v>
      </c>
      <c r="W243" s="32" t="s">
        <v>830</v>
      </c>
      <c r="X243" s="32" t="s">
        <v>831</v>
      </c>
    </row>
    <row r="244" spans="1:24" x14ac:dyDescent="0.25">
      <c r="A244" s="32">
        <v>243</v>
      </c>
      <c r="B244" s="32" t="s">
        <v>829</v>
      </c>
      <c r="C244" s="32" t="s">
        <v>2</v>
      </c>
      <c r="D244" s="32" t="s">
        <v>79</v>
      </c>
      <c r="E244" s="32" t="s">
        <v>34</v>
      </c>
      <c r="F244" s="32">
        <v>0</v>
      </c>
      <c r="G244" s="33">
        <v>1500</v>
      </c>
      <c r="H244" s="33">
        <v>9000</v>
      </c>
      <c r="I244" s="34">
        <v>0.1669999999999999</v>
      </c>
      <c r="J244" s="35">
        <v>46195</v>
      </c>
      <c r="K244" s="36">
        <v>46174</v>
      </c>
      <c r="L244" s="32" t="s">
        <v>80</v>
      </c>
      <c r="M244" s="32" t="s">
        <v>194</v>
      </c>
      <c r="N244" s="32" t="s">
        <v>832</v>
      </c>
      <c r="O244" s="32" t="s">
        <v>125</v>
      </c>
      <c r="P244" s="32" t="s">
        <v>119</v>
      </c>
      <c r="Q244" s="32" t="s">
        <v>102</v>
      </c>
      <c r="R244" s="32">
        <v>0</v>
      </c>
      <c r="S244" s="32">
        <v>2</v>
      </c>
      <c r="T244" s="32">
        <v>2</v>
      </c>
      <c r="U244" s="32">
        <v>1</v>
      </c>
      <c r="V244" s="32" t="s">
        <v>96</v>
      </c>
      <c r="W244" s="32" t="s">
        <v>142</v>
      </c>
      <c r="X244" s="32" t="s">
        <v>833</v>
      </c>
    </row>
    <row r="245" spans="1:24" x14ac:dyDescent="0.25">
      <c r="A245" s="32">
        <v>244</v>
      </c>
      <c r="B245" s="32" t="s">
        <v>834</v>
      </c>
      <c r="C245" s="32" t="s">
        <v>5</v>
      </c>
      <c r="D245" s="32" t="s">
        <v>90</v>
      </c>
      <c r="E245" s="32" t="s">
        <v>30</v>
      </c>
      <c r="F245" s="32">
        <v>1</v>
      </c>
      <c r="G245" s="33">
        <v>40</v>
      </c>
      <c r="H245" s="33">
        <v>266</v>
      </c>
      <c r="I245" s="34">
        <v>0.15</v>
      </c>
      <c r="J245" s="35">
        <v>46114</v>
      </c>
      <c r="K245" s="36">
        <v>46113</v>
      </c>
      <c r="L245" s="32" t="s">
        <v>80</v>
      </c>
      <c r="M245" s="32" t="s">
        <v>144</v>
      </c>
      <c r="N245" s="32" t="s">
        <v>507</v>
      </c>
      <c r="O245" s="32" t="s">
        <v>93</v>
      </c>
      <c r="P245" s="32" t="s">
        <v>119</v>
      </c>
      <c r="Q245" s="32" t="s">
        <v>137</v>
      </c>
      <c r="R245" s="32">
        <v>0</v>
      </c>
      <c r="S245" s="32">
        <v>1</v>
      </c>
      <c r="T245" s="32">
        <v>1</v>
      </c>
      <c r="U245" s="32">
        <v>0</v>
      </c>
      <c r="V245" s="32" t="s">
        <v>96</v>
      </c>
      <c r="W245" s="32" t="s">
        <v>835</v>
      </c>
      <c r="X245" s="32" t="s">
        <v>836</v>
      </c>
    </row>
    <row r="246" spans="1:24" x14ac:dyDescent="0.25">
      <c r="A246" s="32">
        <v>245</v>
      </c>
      <c r="B246" s="32" t="s">
        <v>837</v>
      </c>
      <c r="C246" s="32" t="s">
        <v>31</v>
      </c>
      <c r="D246" s="32" t="s">
        <v>79</v>
      </c>
      <c r="E246" s="32" t="s">
        <v>32</v>
      </c>
      <c r="F246" s="32">
        <v>0</v>
      </c>
      <c r="G246" s="33">
        <v>1050</v>
      </c>
      <c r="H246" s="33">
        <v>90000</v>
      </c>
      <c r="I246" s="34">
        <v>1.2E-2</v>
      </c>
      <c r="J246" s="35">
        <v>46036</v>
      </c>
      <c r="K246" s="36">
        <v>46023</v>
      </c>
      <c r="L246" s="32" t="s">
        <v>80</v>
      </c>
      <c r="M246" s="32" t="s">
        <v>100</v>
      </c>
      <c r="N246" s="32" t="s">
        <v>838</v>
      </c>
      <c r="O246" s="32" t="s">
        <v>160</v>
      </c>
      <c r="P246" s="32" t="s">
        <v>101</v>
      </c>
      <c r="Q246" s="32" t="s">
        <v>102</v>
      </c>
      <c r="R246" s="32">
        <v>0</v>
      </c>
      <c r="S246" s="32">
        <v>1</v>
      </c>
      <c r="T246" s="32">
        <v>1</v>
      </c>
      <c r="U246" s="32">
        <v>0</v>
      </c>
      <c r="V246" s="32" t="s">
        <v>96</v>
      </c>
      <c r="W246" s="32" t="s">
        <v>839</v>
      </c>
      <c r="X246" s="32" t="s">
        <v>840</v>
      </c>
    </row>
    <row r="247" spans="1:24" x14ac:dyDescent="0.25">
      <c r="A247" s="32">
        <v>246</v>
      </c>
      <c r="B247" s="32" t="s">
        <v>841</v>
      </c>
      <c r="C247" s="32" t="s">
        <v>33</v>
      </c>
      <c r="D247" s="32" t="s">
        <v>90</v>
      </c>
      <c r="E247" s="32" t="s">
        <v>32</v>
      </c>
      <c r="F247" s="32">
        <v>0</v>
      </c>
      <c r="G247" s="33">
        <v>193</v>
      </c>
      <c r="H247" s="33">
        <v>600</v>
      </c>
      <c r="I247" s="34">
        <v>0.32200000000000001</v>
      </c>
      <c r="J247" s="35">
        <v>46223</v>
      </c>
      <c r="K247" s="36">
        <v>46204</v>
      </c>
      <c r="L247" s="32" t="s">
        <v>80</v>
      </c>
      <c r="M247" s="32" t="s">
        <v>123</v>
      </c>
      <c r="N247" s="32" t="s">
        <v>842</v>
      </c>
      <c r="O247" s="32" t="s">
        <v>93</v>
      </c>
      <c r="P247" s="32" t="s">
        <v>94</v>
      </c>
      <c r="Q247" s="32" t="s">
        <v>95</v>
      </c>
      <c r="R247" s="32">
        <v>0</v>
      </c>
      <c r="S247" s="32">
        <v>1</v>
      </c>
      <c r="T247" s="32">
        <v>1</v>
      </c>
      <c r="U247" s="32">
        <v>0</v>
      </c>
      <c r="V247" s="32" t="s">
        <v>96</v>
      </c>
      <c r="W247" s="32" t="s">
        <v>843</v>
      </c>
      <c r="X247" s="32" t="s">
        <v>844</v>
      </c>
    </row>
    <row r="248" spans="1:24" x14ac:dyDescent="0.25">
      <c r="A248" s="32">
        <v>247</v>
      </c>
      <c r="B248" s="32" t="s">
        <v>845</v>
      </c>
      <c r="C248" s="32" t="s">
        <v>17</v>
      </c>
      <c r="D248" s="32" t="s">
        <v>79</v>
      </c>
      <c r="E248" s="32" t="s">
        <v>32</v>
      </c>
      <c r="F248" s="32">
        <v>0</v>
      </c>
      <c r="G248" s="33">
        <v>83</v>
      </c>
      <c r="H248" s="33">
        <v>22000</v>
      </c>
      <c r="I248" s="34">
        <v>4.0000000000000001E-3</v>
      </c>
      <c r="J248" s="35">
        <v>46231</v>
      </c>
      <c r="K248" s="36">
        <v>46204</v>
      </c>
      <c r="L248" s="32" t="s">
        <v>80</v>
      </c>
      <c r="M248" s="32" t="s">
        <v>123</v>
      </c>
      <c r="N248" s="32" t="s">
        <v>846</v>
      </c>
      <c r="O248" s="32" t="s">
        <v>83</v>
      </c>
      <c r="P248" s="32" t="s">
        <v>101</v>
      </c>
      <c r="Q248" s="32" t="s">
        <v>137</v>
      </c>
      <c r="R248" s="32">
        <v>0</v>
      </c>
      <c r="S248" s="32">
        <v>1</v>
      </c>
      <c r="T248" s="32">
        <v>1</v>
      </c>
      <c r="U248" s="32">
        <v>0</v>
      </c>
      <c r="V248" s="32" t="s">
        <v>96</v>
      </c>
      <c r="W248" s="32" t="s">
        <v>847</v>
      </c>
      <c r="X248" s="32" t="s">
        <v>848</v>
      </c>
    </row>
    <row r="249" spans="1:24" x14ac:dyDescent="0.25">
      <c r="A249" s="32">
        <v>248</v>
      </c>
      <c r="B249" s="32" t="s">
        <v>849</v>
      </c>
      <c r="C249" s="32" t="s">
        <v>33</v>
      </c>
      <c r="D249" s="32" t="s">
        <v>90</v>
      </c>
      <c r="E249" s="32" t="s">
        <v>32</v>
      </c>
      <c r="F249" s="32">
        <v>0</v>
      </c>
      <c r="G249" s="33">
        <v>260</v>
      </c>
      <c r="H249" s="33">
        <v>4370</v>
      </c>
      <c r="I249" s="34">
        <v>5.8999999999999997E-2</v>
      </c>
      <c r="J249" s="35">
        <v>46174</v>
      </c>
      <c r="K249" s="36">
        <v>46174</v>
      </c>
      <c r="L249" s="32" t="s">
        <v>80</v>
      </c>
      <c r="M249" s="32" t="s">
        <v>194</v>
      </c>
      <c r="N249" s="32" t="s">
        <v>630</v>
      </c>
      <c r="O249" s="32" t="s">
        <v>125</v>
      </c>
      <c r="P249" s="32" t="s">
        <v>84</v>
      </c>
      <c r="Q249" s="32" t="s">
        <v>95</v>
      </c>
      <c r="R249" s="32">
        <v>0</v>
      </c>
      <c r="S249" s="32">
        <v>1</v>
      </c>
      <c r="T249" s="32">
        <v>1</v>
      </c>
      <c r="U249" s="32">
        <v>0</v>
      </c>
      <c r="V249" s="32" t="s">
        <v>211</v>
      </c>
      <c r="W249" s="32" t="s">
        <v>212</v>
      </c>
      <c r="X249" s="32" t="s">
        <v>850</v>
      </c>
    </row>
    <row r="250" spans="1:24" x14ac:dyDescent="0.25">
      <c r="A250" s="32">
        <v>249</v>
      </c>
      <c r="B250" s="32" t="s">
        <v>851</v>
      </c>
      <c r="C250" s="32" t="s">
        <v>31</v>
      </c>
      <c r="D250" s="32" t="s">
        <v>79</v>
      </c>
      <c r="E250" s="32" t="s">
        <v>32</v>
      </c>
      <c r="F250" s="32">
        <v>0</v>
      </c>
      <c r="G250" s="33">
        <v>55</v>
      </c>
      <c r="H250" s="33">
        <v>3000</v>
      </c>
      <c r="I250" s="34">
        <v>1.7999999999999999E-2</v>
      </c>
      <c r="J250" s="35">
        <v>46275</v>
      </c>
      <c r="K250" s="36">
        <v>46266</v>
      </c>
      <c r="L250" s="32" t="s">
        <v>80</v>
      </c>
      <c r="M250" s="32" t="s">
        <v>151</v>
      </c>
      <c r="N250" s="32" t="s">
        <v>286</v>
      </c>
      <c r="O250" s="32" t="s">
        <v>125</v>
      </c>
      <c r="P250" s="32" t="s">
        <v>101</v>
      </c>
      <c r="Q250" s="32" t="s">
        <v>137</v>
      </c>
      <c r="R250" s="32">
        <v>0</v>
      </c>
      <c r="S250" s="32">
        <v>1</v>
      </c>
      <c r="T250" s="32">
        <v>1</v>
      </c>
      <c r="U250" s="32">
        <v>0</v>
      </c>
      <c r="V250" s="32" t="s">
        <v>96</v>
      </c>
      <c r="W250" s="32" t="s">
        <v>852</v>
      </c>
      <c r="X250" s="32" t="s">
        <v>853</v>
      </c>
    </row>
    <row r="251" spans="1:24" x14ac:dyDescent="0.25">
      <c r="A251" s="32">
        <v>250</v>
      </c>
      <c r="B251" s="32" t="s">
        <v>854</v>
      </c>
      <c r="C251" s="32" t="s">
        <v>4</v>
      </c>
      <c r="D251" s="32" t="s">
        <v>79</v>
      </c>
      <c r="E251" s="32" t="s">
        <v>32</v>
      </c>
      <c r="F251" s="32">
        <v>0</v>
      </c>
      <c r="G251" s="33">
        <v>150</v>
      </c>
      <c r="H251" s="33">
        <v>170000</v>
      </c>
      <c r="I251" s="34">
        <v>1E-3</v>
      </c>
      <c r="J251" s="35">
        <v>46132</v>
      </c>
      <c r="K251" s="36">
        <v>46113</v>
      </c>
      <c r="L251" s="32" t="s">
        <v>80</v>
      </c>
      <c r="M251" s="32" t="s">
        <v>144</v>
      </c>
      <c r="N251" s="32" t="s">
        <v>855</v>
      </c>
      <c r="O251" s="32" t="s">
        <v>113</v>
      </c>
      <c r="P251" s="32" t="s">
        <v>101</v>
      </c>
      <c r="Q251" s="32" t="s">
        <v>95</v>
      </c>
      <c r="R251" s="32">
        <v>0</v>
      </c>
      <c r="S251" s="32">
        <v>1</v>
      </c>
      <c r="T251" s="32">
        <v>1</v>
      </c>
      <c r="U251" s="32">
        <v>0</v>
      </c>
      <c r="V251" s="32" t="s">
        <v>96</v>
      </c>
      <c r="W251" s="32" t="s">
        <v>856</v>
      </c>
      <c r="X251" s="32" t="s">
        <v>857</v>
      </c>
    </row>
    <row r="252" spans="1:24" x14ac:dyDescent="0.25">
      <c r="A252" s="32">
        <v>251</v>
      </c>
      <c r="B252" s="32" t="s">
        <v>858</v>
      </c>
      <c r="C252" s="32" t="s">
        <v>20</v>
      </c>
      <c r="D252" s="32" t="s">
        <v>79</v>
      </c>
      <c r="E252" s="32" t="s">
        <v>37</v>
      </c>
      <c r="F252" s="32">
        <v>0</v>
      </c>
      <c r="G252" s="33">
        <v>390</v>
      </c>
      <c r="H252" s="33">
        <v>13000</v>
      </c>
      <c r="I252" s="34">
        <v>0.03</v>
      </c>
      <c r="J252" s="35">
        <v>46295</v>
      </c>
      <c r="K252" s="36">
        <v>46266</v>
      </c>
      <c r="L252" s="32" t="s">
        <v>80</v>
      </c>
      <c r="M252" s="32" t="s">
        <v>151</v>
      </c>
      <c r="N252" s="32" t="s">
        <v>361</v>
      </c>
      <c r="O252" s="32" t="s">
        <v>83</v>
      </c>
      <c r="P252" s="32" t="s">
        <v>101</v>
      </c>
      <c r="Q252" s="32" t="s">
        <v>95</v>
      </c>
      <c r="R252" s="32">
        <v>0</v>
      </c>
      <c r="S252" s="32">
        <v>1</v>
      </c>
      <c r="T252" s="32">
        <v>1</v>
      </c>
      <c r="U252" s="32">
        <v>0</v>
      </c>
      <c r="V252" s="32" t="s">
        <v>96</v>
      </c>
      <c r="W252" s="32" t="s">
        <v>859</v>
      </c>
      <c r="X252" s="32" t="s">
        <v>860</v>
      </c>
    </row>
    <row r="253" spans="1:24" x14ac:dyDescent="0.25">
      <c r="A253" s="32">
        <v>252</v>
      </c>
      <c r="B253" s="32" t="s">
        <v>861</v>
      </c>
      <c r="C253" s="32" t="s">
        <v>15</v>
      </c>
      <c r="D253" s="32" t="s">
        <v>79</v>
      </c>
      <c r="E253" s="32" t="s">
        <v>36</v>
      </c>
      <c r="F253" s="32">
        <v>0</v>
      </c>
      <c r="G253" s="33">
        <v>1400</v>
      </c>
      <c r="H253" s="33">
        <v>33000</v>
      </c>
      <c r="I253" s="34">
        <v>4.2000000000000003E-2</v>
      </c>
      <c r="J253" s="35">
        <v>46023</v>
      </c>
      <c r="K253" s="36">
        <v>46023</v>
      </c>
      <c r="L253" s="32" t="s">
        <v>25</v>
      </c>
      <c r="M253" s="32" t="s">
        <v>100</v>
      </c>
      <c r="N253" s="32" t="s">
        <v>100</v>
      </c>
      <c r="O253" s="32" t="s">
        <v>83</v>
      </c>
      <c r="P253" s="32" t="s">
        <v>101</v>
      </c>
      <c r="Q253" s="32" t="s">
        <v>102</v>
      </c>
      <c r="R253" s="32">
        <v>0</v>
      </c>
      <c r="S253" s="32">
        <v>1</v>
      </c>
      <c r="T253" s="32">
        <v>1</v>
      </c>
      <c r="U253" s="32">
        <v>0</v>
      </c>
      <c r="V253" s="32" t="s">
        <v>96</v>
      </c>
      <c r="W253" s="32" t="s">
        <v>264</v>
      </c>
      <c r="X253" s="32" t="s">
        <v>271</v>
      </c>
    </row>
    <row r="254" spans="1:24" x14ac:dyDescent="0.25">
      <c r="A254" s="32">
        <v>253</v>
      </c>
      <c r="B254" s="32" t="s">
        <v>862</v>
      </c>
      <c r="C254" s="32" t="s">
        <v>29</v>
      </c>
      <c r="D254" s="32" t="s">
        <v>79</v>
      </c>
      <c r="E254" s="32" t="s">
        <v>32</v>
      </c>
      <c r="F254" s="32">
        <v>0</v>
      </c>
      <c r="G254" s="33">
        <v>238</v>
      </c>
      <c r="H254" s="33">
        <v>3500</v>
      </c>
      <c r="I254" s="34">
        <v>6.8000000000000005E-2</v>
      </c>
      <c r="J254" s="35">
        <v>46266</v>
      </c>
      <c r="K254" s="36">
        <v>46266</v>
      </c>
      <c r="L254" s="32" t="s">
        <v>80</v>
      </c>
      <c r="M254" s="32" t="s">
        <v>151</v>
      </c>
      <c r="N254" s="32" t="s">
        <v>373</v>
      </c>
      <c r="O254" s="32" t="s">
        <v>125</v>
      </c>
      <c r="P254" s="32" t="s">
        <v>84</v>
      </c>
      <c r="Q254" s="32" t="s">
        <v>95</v>
      </c>
      <c r="R254" s="32">
        <v>0</v>
      </c>
      <c r="S254" s="32">
        <v>1</v>
      </c>
      <c r="T254" s="32">
        <v>2</v>
      </c>
      <c r="U254" s="32">
        <v>1</v>
      </c>
      <c r="V254" s="32" t="s">
        <v>96</v>
      </c>
      <c r="W254" s="32" t="s">
        <v>863</v>
      </c>
      <c r="X254" s="32" t="s">
        <v>864</v>
      </c>
    </row>
    <row r="255" spans="1:24" x14ac:dyDescent="0.25">
      <c r="A255" s="32">
        <v>254</v>
      </c>
      <c r="B255" s="32" t="s">
        <v>862</v>
      </c>
      <c r="C255" s="32" t="s">
        <v>29</v>
      </c>
      <c r="D255" s="32" t="s">
        <v>79</v>
      </c>
      <c r="E255" s="32" t="s">
        <v>32</v>
      </c>
      <c r="F255" s="32">
        <v>0</v>
      </c>
      <c r="G255" s="33">
        <v>850</v>
      </c>
      <c r="H255" s="33">
        <v>3500</v>
      </c>
      <c r="I255" s="34">
        <v>0.24299999999999999</v>
      </c>
      <c r="J255" s="35">
        <v>46293</v>
      </c>
      <c r="K255" s="36">
        <v>46266</v>
      </c>
      <c r="L255" s="32" t="s">
        <v>80</v>
      </c>
      <c r="M255" s="32" t="s">
        <v>151</v>
      </c>
      <c r="N255" s="32" t="s">
        <v>221</v>
      </c>
      <c r="O255" s="32" t="s">
        <v>125</v>
      </c>
      <c r="P255" s="32" t="s">
        <v>119</v>
      </c>
      <c r="Q255" s="32" t="s">
        <v>85</v>
      </c>
      <c r="R255" s="32">
        <v>0</v>
      </c>
      <c r="S255" s="32">
        <v>2</v>
      </c>
      <c r="T255" s="32">
        <v>2</v>
      </c>
      <c r="U255" s="32">
        <v>1</v>
      </c>
      <c r="V255" s="32" t="s">
        <v>96</v>
      </c>
      <c r="W255" s="32" t="s">
        <v>863</v>
      </c>
      <c r="X255" s="32" t="s">
        <v>865</v>
      </c>
    </row>
    <row r="256" spans="1:24" x14ac:dyDescent="0.25">
      <c r="A256" s="32">
        <v>255</v>
      </c>
      <c r="B256" s="32" t="s">
        <v>866</v>
      </c>
      <c r="C256" s="32" t="s">
        <v>29</v>
      </c>
      <c r="D256" s="32" t="s">
        <v>79</v>
      </c>
      <c r="E256" s="32" t="s">
        <v>36</v>
      </c>
      <c r="F256" s="32">
        <v>0</v>
      </c>
      <c r="G256" s="33">
        <v>90</v>
      </c>
      <c r="H256" s="33">
        <v>2200</v>
      </c>
      <c r="I256" s="34">
        <v>4.0999999999999898E-2</v>
      </c>
      <c r="J256" s="35">
        <v>46275</v>
      </c>
      <c r="K256" s="36">
        <v>46266</v>
      </c>
      <c r="L256" s="32" t="s">
        <v>80</v>
      </c>
      <c r="M256" s="32" t="s">
        <v>151</v>
      </c>
      <c r="N256" s="32" t="s">
        <v>286</v>
      </c>
      <c r="O256" s="32" t="s">
        <v>125</v>
      </c>
      <c r="P256" s="32" t="s">
        <v>101</v>
      </c>
      <c r="Q256" s="32" t="s">
        <v>137</v>
      </c>
      <c r="R256" s="32">
        <v>0</v>
      </c>
      <c r="S256" s="32">
        <v>1</v>
      </c>
      <c r="T256" s="32">
        <v>1</v>
      </c>
      <c r="U256" s="32">
        <v>0</v>
      </c>
      <c r="V256" s="32" t="s">
        <v>96</v>
      </c>
      <c r="W256" s="32" t="s">
        <v>867</v>
      </c>
      <c r="X256" s="32" t="s">
        <v>868</v>
      </c>
    </row>
    <row r="257" spans="1:24" x14ac:dyDescent="0.25">
      <c r="A257" s="32">
        <v>256</v>
      </c>
      <c r="B257" s="32" t="s">
        <v>869</v>
      </c>
      <c r="C257" s="32" t="s">
        <v>17</v>
      </c>
      <c r="D257" s="32" t="s">
        <v>79</v>
      </c>
      <c r="E257" s="32" t="s">
        <v>37</v>
      </c>
      <c r="F257" s="32">
        <v>0</v>
      </c>
      <c r="G257" s="33">
        <v>125</v>
      </c>
      <c r="H257" s="33">
        <v>2000</v>
      </c>
      <c r="I257" s="34">
        <v>6.2E-2</v>
      </c>
      <c r="J257" s="35">
        <v>46085</v>
      </c>
      <c r="K257" s="36">
        <v>46082</v>
      </c>
      <c r="L257" s="32" t="s">
        <v>80</v>
      </c>
      <c r="M257" s="32" t="s">
        <v>106</v>
      </c>
      <c r="N257" s="32" t="s">
        <v>870</v>
      </c>
      <c r="O257" s="32" t="s">
        <v>125</v>
      </c>
      <c r="P257" s="32" t="s">
        <v>84</v>
      </c>
      <c r="Q257" s="32" t="s">
        <v>95</v>
      </c>
      <c r="R257" s="32">
        <v>0</v>
      </c>
      <c r="S257" s="32">
        <v>1</v>
      </c>
      <c r="T257" s="32">
        <v>1</v>
      </c>
      <c r="U257" s="32">
        <v>0</v>
      </c>
      <c r="V257" s="32" t="s">
        <v>96</v>
      </c>
      <c r="W257" s="32" t="s">
        <v>871</v>
      </c>
      <c r="X257" s="32" t="s">
        <v>872</v>
      </c>
    </row>
    <row r="258" spans="1:24" x14ac:dyDescent="0.25">
      <c r="A258" s="32">
        <v>257</v>
      </c>
      <c r="B258" s="32" t="s">
        <v>873</v>
      </c>
      <c r="C258" s="32" t="s">
        <v>2</v>
      </c>
      <c r="D258" s="32" t="s">
        <v>79</v>
      </c>
      <c r="E258" s="32" t="s">
        <v>36</v>
      </c>
      <c r="F258" s="32">
        <v>0</v>
      </c>
      <c r="G258" s="33">
        <v>72</v>
      </c>
      <c r="H258" s="33">
        <v>3000</v>
      </c>
      <c r="I258" s="34">
        <v>2.4E-2</v>
      </c>
      <c r="J258" s="35">
        <v>46149</v>
      </c>
      <c r="K258" s="36">
        <v>46143</v>
      </c>
      <c r="L258" s="32" t="s">
        <v>80</v>
      </c>
      <c r="M258" s="32" t="s">
        <v>91</v>
      </c>
      <c r="N258" s="32" t="s">
        <v>227</v>
      </c>
      <c r="O258" s="32" t="s">
        <v>125</v>
      </c>
      <c r="P258" s="32" t="s">
        <v>101</v>
      </c>
      <c r="Q258" s="32" t="s">
        <v>137</v>
      </c>
      <c r="R258" s="32">
        <v>0</v>
      </c>
      <c r="S258" s="32">
        <v>1</v>
      </c>
      <c r="T258" s="32">
        <v>1</v>
      </c>
      <c r="U258" s="32">
        <v>0</v>
      </c>
      <c r="V258" s="32" t="s">
        <v>86</v>
      </c>
      <c r="W258" s="32" t="s">
        <v>591</v>
      </c>
      <c r="X258" s="32" t="s">
        <v>874</v>
      </c>
    </row>
    <row r="259" spans="1:24" x14ac:dyDescent="0.25">
      <c r="A259" s="32">
        <v>258</v>
      </c>
      <c r="B259" s="32" t="s">
        <v>875</v>
      </c>
      <c r="C259" s="32" t="s">
        <v>20</v>
      </c>
      <c r="D259" s="32" t="s">
        <v>79</v>
      </c>
      <c r="E259" s="32" t="s">
        <v>32</v>
      </c>
      <c r="F259" s="32">
        <v>0</v>
      </c>
      <c r="G259" s="33">
        <v>350</v>
      </c>
      <c r="H259" s="33">
        <v>3545</v>
      </c>
      <c r="I259" s="34">
        <v>9.9000000000000005E-2</v>
      </c>
      <c r="J259" s="35">
        <v>46240</v>
      </c>
      <c r="K259" s="36">
        <v>46235</v>
      </c>
      <c r="L259" s="32" t="s">
        <v>80</v>
      </c>
      <c r="M259" s="32" t="s">
        <v>81</v>
      </c>
      <c r="N259" s="32" t="s">
        <v>876</v>
      </c>
      <c r="O259" s="32" t="s">
        <v>125</v>
      </c>
      <c r="P259" s="32" t="s">
        <v>84</v>
      </c>
      <c r="Q259" s="32" t="s">
        <v>95</v>
      </c>
      <c r="R259" s="32">
        <v>0</v>
      </c>
      <c r="S259" s="32">
        <v>1</v>
      </c>
      <c r="T259" s="32">
        <v>1</v>
      </c>
      <c r="U259" s="32">
        <v>0</v>
      </c>
      <c r="V259" s="32" t="s">
        <v>211</v>
      </c>
      <c r="W259" s="32" t="s">
        <v>212</v>
      </c>
      <c r="X259" s="32" t="s">
        <v>877</v>
      </c>
    </row>
    <row r="260" spans="1:24" x14ac:dyDescent="0.25">
      <c r="A260" s="32">
        <v>259</v>
      </c>
      <c r="B260" s="32" t="s">
        <v>878</v>
      </c>
      <c r="C260" s="32" t="s">
        <v>17</v>
      </c>
      <c r="D260" s="32" t="s">
        <v>79</v>
      </c>
      <c r="E260" s="32" t="s">
        <v>34</v>
      </c>
      <c r="F260" s="32">
        <v>0</v>
      </c>
      <c r="G260" s="33">
        <v>147</v>
      </c>
      <c r="H260" s="33">
        <v>67000</v>
      </c>
      <c r="I260" s="34">
        <v>2E-3</v>
      </c>
      <c r="J260" s="35">
        <v>46080</v>
      </c>
      <c r="K260" s="36">
        <v>46054</v>
      </c>
      <c r="L260" s="32" t="s">
        <v>80</v>
      </c>
      <c r="M260" s="32" t="s">
        <v>187</v>
      </c>
      <c r="N260" s="32" t="s">
        <v>482</v>
      </c>
      <c r="O260" s="32" t="s">
        <v>160</v>
      </c>
      <c r="P260" s="32" t="s">
        <v>101</v>
      </c>
      <c r="Q260" s="32" t="s">
        <v>95</v>
      </c>
      <c r="R260" s="32">
        <v>0</v>
      </c>
      <c r="S260" s="32">
        <v>1</v>
      </c>
      <c r="T260" s="32">
        <v>2</v>
      </c>
      <c r="U260" s="32">
        <v>1</v>
      </c>
      <c r="V260" s="32" t="s">
        <v>96</v>
      </c>
      <c r="W260" s="32" t="s">
        <v>138</v>
      </c>
      <c r="X260" s="32" t="s">
        <v>139</v>
      </c>
    </row>
    <row r="261" spans="1:24" x14ac:dyDescent="0.25">
      <c r="A261" s="32">
        <v>260</v>
      </c>
      <c r="B261" s="32" t="s">
        <v>878</v>
      </c>
      <c r="C261" s="32" t="s">
        <v>17</v>
      </c>
      <c r="D261" s="32" t="s">
        <v>79</v>
      </c>
      <c r="E261" s="32" t="s">
        <v>36</v>
      </c>
      <c r="F261" s="32">
        <v>0</v>
      </c>
      <c r="G261" s="33">
        <v>54</v>
      </c>
      <c r="H261" s="33">
        <v>75000</v>
      </c>
      <c r="I261" s="34">
        <v>1E-3</v>
      </c>
      <c r="J261" s="35">
        <v>46273</v>
      </c>
      <c r="K261" s="36">
        <v>46266</v>
      </c>
      <c r="L261" s="32" t="s">
        <v>80</v>
      </c>
      <c r="M261" s="32" t="s">
        <v>151</v>
      </c>
      <c r="N261" s="32" t="s">
        <v>434</v>
      </c>
      <c r="O261" s="32" t="s">
        <v>160</v>
      </c>
      <c r="P261" s="32" t="s">
        <v>101</v>
      </c>
      <c r="Q261" s="32" t="s">
        <v>137</v>
      </c>
      <c r="R261" s="32">
        <v>0</v>
      </c>
      <c r="S261" s="32">
        <v>2</v>
      </c>
      <c r="T261" s="32">
        <v>2</v>
      </c>
      <c r="U261" s="32">
        <v>1</v>
      </c>
      <c r="V261" s="32" t="s">
        <v>96</v>
      </c>
      <c r="W261" s="32" t="s">
        <v>305</v>
      </c>
      <c r="X261" s="32" t="s">
        <v>879</v>
      </c>
    </row>
    <row r="262" spans="1:24" x14ac:dyDescent="0.25">
      <c r="A262" s="32">
        <v>261</v>
      </c>
      <c r="B262" s="32" t="s">
        <v>880</v>
      </c>
      <c r="C262" s="32" t="s">
        <v>33</v>
      </c>
      <c r="D262" s="32" t="s">
        <v>90</v>
      </c>
      <c r="E262" s="32" t="s">
        <v>30</v>
      </c>
      <c r="F262" s="32">
        <v>1</v>
      </c>
      <c r="G262" s="33">
        <v>16000</v>
      </c>
      <c r="H262" s="33">
        <v>79000</v>
      </c>
      <c r="I262" s="34">
        <v>0.20300000000000001</v>
      </c>
      <c r="J262" s="35">
        <v>46097</v>
      </c>
      <c r="K262" s="36">
        <v>46082</v>
      </c>
      <c r="L262" s="32" t="s">
        <v>80</v>
      </c>
      <c r="M262" s="32" t="s">
        <v>106</v>
      </c>
      <c r="N262" s="32" t="s">
        <v>476</v>
      </c>
      <c r="O262" s="32" t="s">
        <v>160</v>
      </c>
      <c r="P262" s="32" t="s">
        <v>119</v>
      </c>
      <c r="Q262" s="32" t="s">
        <v>114</v>
      </c>
      <c r="R262" s="32">
        <v>0</v>
      </c>
      <c r="S262" s="32">
        <v>1</v>
      </c>
      <c r="T262" s="32">
        <v>1</v>
      </c>
      <c r="U262" s="32">
        <v>0</v>
      </c>
      <c r="V262" s="32" t="s">
        <v>96</v>
      </c>
      <c r="W262" s="32" t="s">
        <v>142</v>
      </c>
      <c r="X262" s="32" t="s">
        <v>881</v>
      </c>
    </row>
    <row r="263" spans="1:24" x14ac:dyDescent="0.25">
      <c r="A263" s="32">
        <v>262</v>
      </c>
      <c r="B263" s="32" t="s">
        <v>882</v>
      </c>
      <c r="C263" s="32" t="s">
        <v>33</v>
      </c>
      <c r="D263" s="32" t="s">
        <v>90</v>
      </c>
      <c r="E263" s="32" t="s">
        <v>30</v>
      </c>
      <c r="F263" s="32">
        <v>1</v>
      </c>
      <c r="G263" s="33">
        <v>170</v>
      </c>
      <c r="H263" s="33">
        <v>1350</v>
      </c>
      <c r="I263" s="34">
        <v>0.126</v>
      </c>
      <c r="J263" s="35">
        <v>46210</v>
      </c>
      <c r="K263" s="36">
        <v>46204</v>
      </c>
      <c r="L263" s="32" t="s">
        <v>80</v>
      </c>
      <c r="M263" s="32" t="s">
        <v>123</v>
      </c>
      <c r="N263" s="32" t="s">
        <v>357</v>
      </c>
      <c r="O263" s="32" t="s">
        <v>125</v>
      </c>
      <c r="P263" s="32" t="s">
        <v>119</v>
      </c>
      <c r="Q263" s="32" t="s">
        <v>95</v>
      </c>
      <c r="R263" s="32">
        <v>0</v>
      </c>
      <c r="S263" s="32">
        <v>1</v>
      </c>
      <c r="T263" s="32">
        <v>1</v>
      </c>
      <c r="U263" s="32">
        <v>0</v>
      </c>
      <c r="V263" s="32" t="s">
        <v>96</v>
      </c>
      <c r="W263" s="32" t="s">
        <v>883</v>
      </c>
      <c r="X263" s="32" t="s">
        <v>884</v>
      </c>
    </row>
    <row r="264" spans="1:24" x14ac:dyDescent="0.25">
      <c r="A264" s="32">
        <v>263</v>
      </c>
      <c r="B264" s="32" t="s">
        <v>885</v>
      </c>
      <c r="C264" s="32" t="s">
        <v>33</v>
      </c>
      <c r="D264" s="32" t="s">
        <v>90</v>
      </c>
      <c r="E264" s="32" t="s">
        <v>30</v>
      </c>
      <c r="F264" s="32">
        <v>1</v>
      </c>
      <c r="G264" s="33">
        <v>8750</v>
      </c>
      <c r="H264" s="33">
        <v>125000</v>
      </c>
      <c r="I264" s="34">
        <v>7.0000000000000007E-2</v>
      </c>
      <c r="J264" s="35">
        <v>46135</v>
      </c>
      <c r="K264" s="36">
        <v>46113</v>
      </c>
      <c r="L264" s="32" t="s">
        <v>80</v>
      </c>
      <c r="M264" s="32" t="s">
        <v>144</v>
      </c>
      <c r="N264" s="32" t="s">
        <v>779</v>
      </c>
      <c r="O264" s="32" t="s">
        <v>113</v>
      </c>
      <c r="P264" s="32" t="s">
        <v>84</v>
      </c>
      <c r="Q264" s="32" t="s">
        <v>114</v>
      </c>
      <c r="R264" s="32">
        <v>0</v>
      </c>
      <c r="S264" s="32">
        <v>1</v>
      </c>
      <c r="T264" s="32">
        <v>3</v>
      </c>
      <c r="U264" s="32">
        <v>1</v>
      </c>
      <c r="V264" s="32" t="s">
        <v>96</v>
      </c>
      <c r="W264" s="32" t="s">
        <v>142</v>
      </c>
      <c r="X264" s="32" t="s">
        <v>886</v>
      </c>
    </row>
    <row r="265" spans="1:24" x14ac:dyDescent="0.25">
      <c r="A265" s="32">
        <v>264</v>
      </c>
      <c r="B265" s="32" t="s">
        <v>885</v>
      </c>
      <c r="C265" s="32" t="s">
        <v>33</v>
      </c>
      <c r="D265" s="32" t="s">
        <v>90</v>
      </c>
      <c r="E265" s="32" t="s">
        <v>36</v>
      </c>
      <c r="F265" s="32">
        <v>0</v>
      </c>
      <c r="G265" s="33">
        <v>4664</v>
      </c>
      <c r="H265" s="33">
        <v>228000</v>
      </c>
      <c r="I265" s="34">
        <v>0.02</v>
      </c>
      <c r="J265" s="35">
        <v>46209</v>
      </c>
      <c r="K265" s="36">
        <v>46204</v>
      </c>
      <c r="L265" s="32" t="s">
        <v>80</v>
      </c>
      <c r="M265" s="32" t="s">
        <v>123</v>
      </c>
      <c r="N265" s="32" t="s">
        <v>446</v>
      </c>
      <c r="O265" s="32" t="s">
        <v>113</v>
      </c>
      <c r="P265" s="32" t="s">
        <v>101</v>
      </c>
      <c r="Q265" s="32" t="s">
        <v>102</v>
      </c>
      <c r="R265" s="32">
        <v>0</v>
      </c>
      <c r="S265" s="32">
        <v>2</v>
      </c>
      <c r="T265" s="32">
        <v>3</v>
      </c>
      <c r="U265" s="32">
        <v>1</v>
      </c>
      <c r="V265" s="32" t="s">
        <v>96</v>
      </c>
      <c r="W265" s="32" t="s">
        <v>142</v>
      </c>
      <c r="X265" s="32" t="s">
        <v>887</v>
      </c>
    </row>
    <row r="266" spans="1:24" x14ac:dyDescent="0.25">
      <c r="A266" s="32">
        <v>265</v>
      </c>
      <c r="B266" s="32" t="s">
        <v>885</v>
      </c>
      <c r="C266" s="32" t="s">
        <v>33</v>
      </c>
      <c r="D266" s="32" t="s">
        <v>90</v>
      </c>
      <c r="E266" s="32" t="s">
        <v>32</v>
      </c>
      <c r="F266" s="32">
        <v>0</v>
      </c>
      <c r="G266" s="33">
        <v>268</v>
      </c>
      <c r="H266" s="33">
        <v>228000</v>
      </c>
      <c r="I266" s="34">
        <v>1E-3</v>
      </c>
      <c r="J266" s="35">
        <v>46287</v>
      </c>
      <c r="K266" s="36">
        <v>46266</v>
      </c>
      <c r="L266" s="32" t="s">
        <v>80</v>
      </c>
      <c r="M266" s="32" t="s">
        <v>151</v>
      </c>
      <c r="N266" s="32" t="s">
        <v>310</v>
      </c>
      <c r="O266" s="32" t="s">
        <v>113</v>
      </c>
      <c r="P266" s="32" t="s">
        <v>101</v>
      </c>
      <c r="Q266" s="32" t="s">
        <v>95</v>
      </c>
      <c r="R266" s="32">
        <v>0</v>
      </c>
      <c r="S266" s="32">
        <v>3</v>
      </c>
      <c r="T266" s="32">
        <v>3</v>
      </c>
      <c r="U266" s="32">
        <v>1</v>
      </c>
      <c r="V266" s="32" t="s">
        <v>96</v>
      </c>
      <c r="W266" s="32" t="s">
        <v>888</v>
      </c>
      <c r="X266" s="32" t="s">
        <v>889</v>
      </c>
    </row>
    <row r="267" spans="1:24" x14ac:dyDescent="0.25">
      <c r="A267" s="32">
        <v>266</v>
      </c>
      <c r="B267" s="32" t="s">
        <v>890</v>
      </c>
      <c r="C267" s="32" t="s">
        <v>29</v>
      </c>
      <c r="D267" s="32" t="s">
        <v>79</v>
      </c>
      <c r="E267" s="32" t="s">
        <v>30</v>
      </c>
      <c r="F267" s="32">
        <v>1</v>
      </c>
      <c r="G267" s="33">
        <v>60</v>
      </c>
      <c r="H267" s="33">
        <v>500</v>
      </c>
      <c r="I267" s="34">
        <v>0.12</v>
      </c>
      <c r="J267" s="35">
        <v>46170</v>
      </c>
      <c r="K267" s="36">
        <v>46143</v>
      </c>
      <c r="L267" s="32" t="s">
        <v>80</v>
      </c>
      <c r="M267" s="32" t="s">
        <v>91</v>
      </c>
      <c r="N267" s="32" t="s">
        <v>156</v>
      </c>
      <c r="O267" s="32" t="s">
        <v>93</v>
      </c>
      <c r="P267" s="32" t="s">
        <v>119</v>
      </c>
      <c r="Q267" s="32" t="s">
        <v>137</v>
      </c>
      <c r="R267" s="32">
        <v>0</v>
      </c>
      <c r="S267" s="32">
        <v>1</v>
      </c>
      <c r="T267" s="32">
        <v>1</v>
      </c>
      <c r="U267" s="32">
        <v>0</v>
      </c>
      <c r="V267" s="32" t="s">
        <v>96</v>
      </c>
      <c r="W267" s="32" t="s">
        <v>97</v>
      </c>
      <c r="X267" s="32" t="s">
        <v>891</v>
      </c>
    </row>
    <row r="268" spans="1:24" x14ac:dyDescent="0.25">
      <c r="A268" s="32">
        <v>267</v>
      </c>
      <c r="B268" s="32" t="s">
        <v>892</v>
      </c>
      <c r="C268" s="32" t="s">
        <v>4</v>
      </c>
      <c r="D268" s="32" t="s">
        <v>79</v>
      </c>
      <c r="E268" s="32" t="s">
        <v>32</v>
      </c>
      <c r="F268" s="32">
        <v>0</v>
      </c>
      <c r="G268" s="33">
        <v>90</v>
      </c>
      <c r="H268" s="33">
        <v>4000</v>
      </c>
      <c r="I268" s="34">
        <v>2.1999999999999999E-2</v>
      </c>
      <c r="J268" s="35">
        <v>46252</v>
      </c>
      <c r="K268" s="36">
        <v>46235</v>
      </c>
      <c r="L268" s="32" t="s">
        <v>80</v>
      </c>
      <c r="M268" s="32" t="s">
        <v>81</v>
      </c>
      <c r="N268" s="32" t="s">
        <v>167</v>
      </c>
      <c r="O268" s="32" t="s">
        <v>125</v>
      </c>
      <c r="P268" s="32" t="s">
        <v>101</v>
      </c>
      <c r="Q268" s="32" t="s">
        <v>137</v>
      </c>
      <c r="R268" s="32">
        <v>0</v>
      </c>
      <c r="S268" s="32">
        <v>1</v>
      </c>
      <c r="T268" s="32">
        <v>1</v>
      </c>
      <c r="U268" s="32">
        <v>0</v>
      </c>
      <c r="V268" s="32" t="s">
        <v>96</v>
      </c>
      <c r="W268" s="32" t="s">
        <v>893</v>
      </c>
      <c r="X268" s="32" t="s">
        <v>894</v>
      </c>
    </row>
    <row r="269" spans="1:24" x14ac:dyDescent="0.25">
      <c r="A269" s="32">
        <v>268</v>
      </c>
      <c r="B269" s="32" t="s">
        <v>895</v>
      </c>
      <c r="C269" s="32" t="s">
        <v>17</v>
      </c>
      <c r="D269" s="32" t="s">
        <v>79</v>
      </c>
      <c r="E269" s="32" t="s">
        <v>32</v>
      </c>
      <c r="F269" s="32">
        <v>0</v>
      </c>
      <c r="G269" s="33">
        <v>156</v>
      </c>
      <c r="H269" s="33">
        <v>17000</v>
      </c>
      <c r="I269" s="34">
        <v>8.9999999999999993E-3</v>
      </c>
      <c r="J269" s="35">
        <v>46117</v>
      </c>
      <c r="K269" s="36">
        <v>46113</v>
      </c>
      <c r="L269" s="32" t="s">
        <v>80</v>
      </c>
      <c r="M269" s="32" t="s">
        <v>144</v>
      </c>
      <c r="N269" s="32" t="s">
        <v>282</v>
      </c>
      <c r="O269" s="32" t="s">
        <v>83</v>
      </c>
      <c r="P269" s="32" t="s">
        <v>101</v>
      </c>
      <c r="Q269" s="32" t="s">
        <v>95</v>
      </c>
      <c r="R269" s="32">
        <v>0</v>
      </c>
      <c r="S269" s="32">
        <v>1</v>
      </c>
      <c r="T269" s="32">
        <v>1</v>
      </c>
      <c r="U269" s="32">
        <v>0</v>
      </c>
      <c r="V269" s="32" t="s">
        <v>96</v>
      </c>
      <c r="W269" s="32" t="s">
        <v>896</v>
      </c>
      <c r="X269" s="32" t="s">
        <v>897</v>
      </c>
    </row>
    <row r="270" spans="1:24" x14ac:dyDescent="0.25">
      <c r="A270" s="32">
        <v>269</v>
      </c>
      <c r="B270" s="32" t="s">
        <v>898</v>
      </c>
      <c r="C270" s="32" t="s">
        <v>20</v>
      </c>
      <c r="D270" s="32" t="s">
        <v>79</v>
      </c>
      <c r="E270" s="32" t="s">
        <v>34</v>
      </c>
      <c r="F270" s="32">
        <v>0</v>
      </c>
      <c r="G270" s="33">
        <v>90</v>
      </c>
      <c r="H270" s="33">
        <v>450</v>
      </c>
      <c r="I270" s="34">
        <v>0.2</v>
      </c>
      <c r="J270" s="35">
        <v>46273</v>
      </c>
      <c r="K270" s="36">
        <v>46266</v>
      </c>
      <c r="L270" s="32" t="s">
        <v>80</v>
      </c>
      <c r="M270" s="32" t="s">
        <v>151</v>
      </c>
      <c r="N270" s="32" t="s">
        <v>434</v>
      </c>
      <c r="O270" s="32" t="s">
        <v>93</v>
      </c>
      <c r="P270" s="32" t="s">
        <v>119</v>
      </c>
      <c r="Q270" s="32" t="s">
        <v>137</v>
      </c>
      <c r="R270" s="32">
        <v>0</v>
      </c>
      <c r="S270" s="32">
        <v>1</v>
      </c>
      <c r="T270" s="32">
        <v>1</v>
      </c>
      <c r="U270" s="32">
        <v>0</v>
      </c>
      <c r="V270" s="32" t="s">
        <v>96</v>
      </c>
      <c r="W270" s="32" t="s">
        <v>899</v>
      </c>
      <c r="X270" s="32" t="s">
        <v>900</v>
      </c>
    </row>
    <row r="271" spans="1:24" x14ac:dyDescent="0.25">
      <c r="A271" s="32">
        <v>270</v>
      </c>
      <c r="B271" s="32" t="s">
        <v>901</v>
      </c>
      <c r="C271" s="32" t="s">
        <v>15</v>
      </c>
      <c r="D271" s="32" t="s">
        <v>79</v>
      </c>
      <c r="E271" s="32" t="s">
        <v>36</v>
      </c>
      <c r="F271" s="32">
        <v>0</v>
      </c>
      <c r="G271" s="33">
        <v>2500</v>
      </c>
      <c r="H271" s="33">
        <v>82000</v>
      </c>
      <c r="I271" s="34">
        <v>0.03</v>
      </c>
      <c r="J271" s="35">
        <v>46088</v>
      </c>
      <c r="K271" s="36">
        <v>46082</v>
      </c>
      <c r="L271" s="32" t="s">
        <v>80</v>
      </c>
      <c r="M271" s="32" t="s">
        <v>106</v>
      </c>
      <c r="N271" s="32" t="s">
        <v>902</v>
      </c>
      <c r="O271" s="32" t="s">
        <v>160</v>
      </c>
      <c r="P271" s="32" t="s">
        <v>101</v>
      </c>
      <c r="Q271" s="32" t="s">
        <v>102</v>
      </c>
      <c r="R271" s="32">
        <v>0</v>
      </c>
      <c r="S271" s="32">
        <v>1</v>
      </c>
      <c r="T271" s="32">
        <v>1</v>
      </c>
      <c r="U271" s="32">
        <v>0</v>
      </c>
      <c r="V271" s="32" t="s">
        <v>96</v>
      </c>
      <c r="W271" s="32" t="s">
        <v>500</v>
      </c>
      <c r="X271" s="32" t="s">
        <v>501</v>
      </c>
    </row>
    <row r="272" spans="1:24" x14ac:dyDescent="0.25">
      <c r="A272" s="32">
        <v>271</v>
      </c>
      <c r="B272" s="32" t="s">
        <v>903</v>
      </c>
      <c r="C272" s="32" t="s">
        <v>29</v>
      </c>
      <c r="D272" s="32" t="s">
        <v>79</v>
      </c>
      <c r="E272" s="32" t="s">
        <v>32</v>
      </c>
      <c r="F272" s="32">
        <v>0</v>
      </c>
      <c r="G272" s="33">
        <v>111</v>
      </c>
      <c r="H272" s="33">
        <v>111</v>
      </c>
      <c r="I272" s="34">
        <v>1</v>
      </c>
      <c r="J272" s="35">
        <v>46267</v>
      </c>
      <c r="K272" s="36">
        <v>46266</v>
      </c>
      <c r="L272" s="32" t="s">
        <v>80</v>
      </c>
      <c r="M272" s="32" t="s">
        <v>151</v>
      </c>
      <c r="N272" s="32" t="s">
        <v>337</v>
      </c>
      <c r="O272" s="32" t="s">
        <v>93</v>
      </c>
      <c r="P272" s="32" t="s">
        <v>297</v>
      </c>
      <c r="Q272" s="32" t="s">
        <v>95</v>
      </c>
      <c r="R272" s="32">
        <v>1</v>
      </c>
      <c r="S272" s="32">
        <v>1</v>
      </c>
      <c r="T272" s="32">
        <v>1</v>
      </c>
      <c r="U272" s="32">
        <v>0</v>
      </c>
      <c r="V272" s="32" t="s">
        <v>96</v>
      </c>
      <c r="W272" s="32" t="s">
        <v>904</v>
      </c>
      <c r="X272" s="32" t="s">
        <v>905</v>
      </c>
    </row>
    <row r="273" spans="1:24" x14ac:dyDescent="0.25">
      <c r="A273" s="32">
        <v>272</v>
      </c>
      <c r="B273" s="32" t="s">
        <v>906</v>
      </c>
      <c r="C273" s="32" t="s">
        <v>17</v>
      </c>
      <c r="D273" s="32" t="s">
        <v>79</v>
      </c>
      <c r="E273" s="32" t="s">
        <v>36</v>
      </c>
      <c r="F273" s="32">
        <v>0</v>
      </c>
      <c r="G273" s="33">
        <v>138</v>
      </c>
      <c r="H273" s="33">
        <v>28000</v>
      </c>
      <c r="I273" s="34">
        <v>5.0000000000000001E-3</v>
      </c>
      <c r="J273" s="35">
        <v>46275</v>
      </c>
      <c r="K273" s="36">
        <v>46266</v>
      </c>
      <c r="L273" s="32" t="s">
        <v>80</v>
      </c>
      <c r="M273" s="32" t="s">
        <v>151</v>
      </c>
      <c r="N273" s="32" t="s">
        <v>286</v>
      </c>
      <c r="O273" s="32" t="s">
        <v>83</v>
      </c>
      <c r="P273" s="32" t="s">
        <v>101</v>
      </c>
      <c r="Q273" s="32" t="s">
        <v>95</v>
      </c>
      <c r="R273" s="32">
        <v>0</v>
      </c>
      <c r="S273" s="32">
        <v>1</v>
      </c>
      <c r="T273" s="32">
        <v>1</v>
      </c>
      <c r="U273" s="32">
        <v>0</v>
      </c>
      <c r="V273" s="32" t="s">
        <v>96</v>
      </c>
      <c r="W273" s="32" t="s">
        <v>907</v>
      </c>
      <c r="X273" s="32" t="s">
        <v>908</v>
      </c>
    </row>
    <row r="274" spans="1:24" x14ac:dyDescent="0.25">
      <c r="A274" s="32">
        <v>273</v>
      </c>
      <c r="B274" s="32" t="s">
        <v>909</v>
      </c>
      <c r="C274" s="32" t="s">
        <v>33</v>
      </c>
      <c r="D274" s="32" t="s">
        <v>90</v>
      </c>
      <c r="E274" s="32" t="s">
        <v>32</v>
      </c>
      <c r="F274" s="32">
        <v>0</v>
      </c>
      <c r="G274" s="33">
        <v>75</v>
      </c>
      <c r="H274" s="33">
        <v>500</v>
      </c>
      <c r="I274" s="34">
        <v>0.15</v>
      </c>
      <c r="J274" s="35">
        <v>46211</v>
      </c>
      <c r="K274" s="36">
        <v>46204</v>
      </c>
      <c r="L274" s="32" t="s">
        <v>80</v>
      </c>
      <c r="M274" s="32" t="s">
        <v>123</v>
      </c>
      <c r="N274" s="32" t="s">
        <v>817</v>
      </c>
      <c r="O274" s="32" t="s">
        <v>93</v>
      </c>
      <c r="P274" s="32" t="s">
        <v>119</v>
      </c>
      <c r="Q274" s="32" t="s">
        <v>137</v>
      </c>
      <c r="R274" s="32">
        <v>0</v>
      </c>
      <c r="S274" s="32">
        <v>1</v>
      </c>
      <c r="T274" s="32">
        <v>1</v>
      </c>
      <c r="U274" s="32">
        <v>0</v>
      </c>
      <c r="V274" s="32" t="s">
        <v>96</v>
      </c>
      <c r="W274" s="32" t="s">
        <v>252</v>
      </c>
      <c r="X274" s="32" t="s">
        <v>910</v>
      </c>
    </row>
    <row r="275" spans="1:24" x14ac:dyDescent="0.25">
      <c r="A275" s="32">
        <v>274</v>
      </c>
      <c r="B275" s="32" t="s">
        <v>911</v>
      </c>
      <c r="C275" s="32" t="s">
        <v>29</v>
      </c>
      <c r="D275" s="32" t="s">
        <v>79</v>
      </c>
      <c r="E275" s="32" t="s">
        <v>32</v>
      </c>
      <c r="F275" s="32">
        <v>0</v>
      </c>
      <c r="G275" s="33">
        <v>24</v>
      </c>
      <c r="H275" s="33">
        <v>4000</v>
      </c>
      <c r="I275" s="34">
        <v>6.0000000000000001E-3</v>
      </c>
      <c r="J275" s="35">
        <v>46205</v>
      </c>
      <c r="K275" s="36">
        <v>46204</v>
      </c>
      <c r="L275" s="32" t="s">
        <v>80</v>
      </c>
      <c r="M275" s="32" t="s">
        <v>123</v>
      </c>
      <c r="N275" s="32" t="s">
        <v>912</v>
      </c>
      <c r="O275" s="32" t="s">
        <v>125</v>
      </c>
      <c r="P275" s="32" t="s">
        <v>101</v>
      </c>
      <c r="Q275" s="32" t="s">
        <v>137</v>
      </c>
      <c r="R275" s="32">
        <v>0</v>
      </c>
      <c r="S275" s="32">
        <v>1</v>
      </c>
      <c r="T275" s="32">
        <v>1</v>
      </c>
      <c r="U275" s="32">
        <v>0</v>
      </c>
      <c r="V275" s="32" t="s">
        <v>96</v>
      </c>
      <c r="W275" s="32" t="s">
        <v>572</v>
      </c>
      <c r="X275" s="32" t="s">
        <v>913</v>
      </c>
    </row>
    <row r="276" spans="1:24" x14ac:dyDescent="0.25">
      <c r="A276" s="32">
        <v>275</v>
      </c>
      <c r="B276" s="32" t="s">
        <v>914</v>
      </c>
      <c r="C276" s="32" t="s">
        <v>15</v>
      </c>
      <c r="D276" s="32" t="s">
        <v>79</v>
      </c>
      <c r="E276" s="32" t="s">
        <v>37</v>
      </c>
      <c r="F276" s="32">
        <v>0</v>
      </c>
      <c r="G276" s="33">
        <v>600</v>
      </c>
      <c r="H276" s="33">
        <v>25000</v>
      </c>
      <c r="I276" s="34">
        <v>2.4E-2</v>
      </c>
      <c r="J276" s="35">
        <v>46202</v>
      </c>
      <c r="K276" s="36">
        <v>46174</v>
      </c>
      <c r="L276" s="32" t="s">
        <v>80</v>
      </c>
      <c r="M276" s="32" t="s">
        <v>194</v>
      </c>
      <c r="N276" s="32" t="s">
        <v>314</v>
      </c>
      <c r="O276" s="32" t="s">
        <v>83</v>
      </c>
      <c r="P276" s="32" t="s">
        <v>101</v>
      </c>
      <c r="Q276" s="32" t="s">
        <v>85</v>
      </c>
      <c r="R276" s="32">
        <v>0</v>
      </c>
      <c r="S276" s="32">
        <v>1</v>
      </c>
      <c r="T276" s="32">
        <v>1</v>
      </c>
      <c r="U276" s="32">
        <v>0</v>
      </c>
      <c r="V276" s="32" t="s">
        <v>96</v>
      </c>
      <c r="W276" s="32" t="s">
        <v>915</v>
      </c>
      <c r="X276" s="32" t="s">
        <v>916</v>
      </c>
    </row>
    <row r="277" spans="1:24" x14ac:dyDescent="0.25">
      <c r="A277" s="32">
        <v>276</v>
      </c>
      <c r="B277" s="32" t="s">
        <v>917</v>
      </c>
      <c r="C277" s="32" t="s">
        <v>4</v>
      </c>
      <c r="D277" s="32" t="s">
        <v>79</v>
      </c>
      <c r="E277" s="32" t="s">
        <v>32</v>
      </c>
      <c r="F277" s="32">
        <v>0</v>
      </c>
      <c r="G277" s="33">
        <v>345</v>
      </c>
      <c r="H277" s="33">
        <v>170000</v>
      </c>
      <c r="I277" s="34">
        <v>2E-3</v>
      </c>
      <c r="J277" s="35">
        <v>46210</v>
      </c>
      <c r="K277" s="36">
        <v>46204</v>
      </c>
      <c r="L277" s="32" t="s">
        <v>80</v>
      </c>
      <c r="M277" s="32" t="s">
        <v>123</v>
      </c>
      <c r="N277" s="32" t="s">
        <v>357</v>
      </c>
      <c r="O277" s="32" t="s">
        <v>113</v>
      </c>
      <c r="P277" s="32" t="s">
        <v>101</v>
      </c>
      <c r="Q277" s="32" t="s">
        <v>95</v>
      </c>
      <c r="R277" s="32">
        <v>0</v>
      </c>
      <c r="S277" s="32">
        <v>1</v>
      </c>
      <c r="T277" s="32">
        <v>1</v>
      </c>
      <c r="U277" s="32">
        <v>0</v>
      </c>
      <c r="V277" s="32" t="s">
        <v>96</v>
      </c>
      <c r="W277" s="32" t="s">
        <v>153</v>
      </c>
      <c r="X277" s="32" t="s">
        <v>918</v>
      </c>
    </row>
    <row r="278" spans="1:24" x14ac:dyDescent="0.25">
      <c r="A278" s="32">
        <v>277</v>
      </c>
      <c r="B278" s="32" t="s">
        <v>919</v>
      </c>
      <c r="C278" s="32" t="s">
        <v>4</v>
      </c>
      <c r="D278" s="32" t="s">
        <v>79</v>
      </c>
      <c r="E278" s="32" t="s">
        <v>30</v>
      </c>
      <c r="F278" s="32">
        <v>1</v>
      </c>
      <c r="G278" s="33">
        <v>16000</v>
      </c>
      <c r="H278" s="33">
        <v>270000</v>
      </c>
      <c r="I278" s="34">
        <v>5.8999999999999997E-2</v>
      </c>
      <c r="J278" s="35">
        <v>46080</v>
      </c>
      <c r="K278" s="36">
        <v>46054</v>
      </c>
      <c r="L278" s="32" t="s">
        <v>80</v>
      </c>
      <c r="M278" s="32" t="s">
        <v>187</v>
      </c>
      <c r="N278" s="32" t="s">
        <v>482</v>
      </c>
      <c r="O278" s="32" t="s">
        <v>113</v>
      </c>
      <c r="P278" s="32" t="s">
        <v>84</v>
      </c>
      <c r="Q278" s="32" t="s">
        <v>114</v>
      </c>
      <c r="R278" s="32">
        <v>0</v>
      </c>
      <c r="S278" s="32">
        <v>1</v>
      </c>
      <c r="T278" s="32">
        <v>1</v>
      </c>
      <c r="U278" s="32">
        <v>0</v>
      </c>
      <c r="V278" s="32" t="s">
        <v>96</v>
      </c>
      <c r="W278" s="32" t="s">
        <v>920</v>
      </c>
      <c r="X278" s="32" t="s">
        <v>921</v>
      </c>
    </row>
    <row r="279" spans="1:24" x14ac:dyDescent="0.25">
      <c r="A279" s="32">
        <v>278</v>
      </c>
      <c r="B279" s="32" t="s">
        <v>922</v>
      </c>
      <c r="C279" s="32" t="s">
        <v>29</v>
      </c>
      <c r="D279" s="32" t="s">
        <v>79</v>
      </c>
      <c r="E279" s="32" t="s">
        <v>32</v>
      </c>
      <c r="F279" s="32">
        <v>0</v>
      </c>
      <c r="G279" s="33">
        <v>59</v>
      </c>
      <c r="H279" s="33">
        <v>16000</v>
      </c>
      <c r="I279" s="34">
        <v>4.0000000000000001E-3</v>
      </c>
      <c r="J279" s="35">
        <v>46247</v>
      </c>
      <c r="K279" s="36">
        <v>46235</v>
      </c>
      <c r="L279" s="32" t="s">
        <v>80</v>
      </c>
      <c r="M279" s="32" t="s">
        <v>81</v>
      </c>
      <c r="N279" s="32" t="s">
        <v>503</v>
      </c>
      <c r="O279" s="32" t="s">
        <v>83</v>
      </c>
      <c r="P279" s="32" t="s">
        <v>101</v>
      </c>
      <c r="Q279" s="32" t="s">
        <v>137</v>
      </c>
      <c r="R279" s="32">
        <v>0</v>
      </c>
      <c r="S279" s="32">
        <v>1</v>
      </c>
      <c r="T279" s="32">
        <v>1</v>
      </c>
      <c r="U279" s="32">
        <v>0</v>
      </c>
      <c r="V279" s="32" t="s">
        <v>86</v>
      </c>
      <c r="W279" s="32" t="s">
        <v>87</v>
      </c>
      <c r="X279" s="32" t="s">
        <v>322</v>
      </c>
    </row>
    <row r="280" spans="1:24" x14ac:dyDescent="0.25">
      <c r="A280" s="32">
        <v>279</v>
      </c>
      <c r="B280" s="32" t="s">
        <v>923</v>
      </c>
      <c r="C280" s="32" t="s">
        <v>31</v>
      </c>
      <c r="D280" s="32" t="s">
        <v>79</v>
      </c>
      <c r="E280" s="32" t="s">
        <v>30</v>
      </c>
      <c r="F280" s="32">
        <v>1</v>
      </c>
      <c r="G280" s="33">
        <v>775</v>
      </c>
      <c r="H280" s="33">
        <v>76000</v>
      </c>
      <c r="I280" s="34">
        <v>0.01</v>
      </c>
      <c r="J280" s="35">
        <v>46048</v>
      </c>
      <c r="K280" s="36">
        <v>46023</v>
      </c>
      <c r="L280" s="32" t="s">
        <v>80</v>
      </c>
      <c r="M280" s="32" t="s">
        <v>100</v>
      </c>
      <c r="N280" s="32" t="s">
        <v>924</v>
      </c>
      <c r="O280" s="32" t="s">
        <v>160</v>
      </c>
      <c r="P280" s="32" t="s">
        <v>101</v>
      </c>
      <c r="Q280" s="32" t="s">
        <v>85</v>
      </c>
      <c r="R280" s="32">
        <v>0</v>
      </c>
      <c r="S280" s="32">
        <v>1</v>
      </c>
      <c r="T280" s="32">
        <v>2</v>
      </c>
      <c r="U280" s="32">
        <v>1</v>
      </c>
      <c r="V280" s="32" t="s">
        <v>96</v>
      </c>
      <c r="W280" s="32" t="s">
        <v>142</v>
      </c>
      <c r="X280" s="32" t="s">
        <v>925</v>
      </c>
    </row>
    <row r="281" spans="1:24" x14ac:dyDescent="0.25">
      <c r="A281" s="32">
        <v>280</v>
      </c>
      <c r="B281" s="32" t="s">
        <v>923</v>
      </c>
      <c r="C281" s="32" t="s">
        <v>31</v>
      </c>
      <c r="D281" s="32" t="s">
        <v>79</v>
      </c>
      <c r="E281" s="32" t="s">
        <v>32</v>
      </c>
      <c r="F281" s="32">
        <v>0</v>
      </c>
      <c r="G281" s="33">
        <v>1400</v>
      </c>
      <c r="H281" s="33">
        <v>76000</v>
      </c>
      <c r="I281" s="34">
        <v>1.7999999999999999E-2</v>
      </c>
      <c r="J281" s="35">
        <v>46135</v>
      </c>
      <c r="K281" s="36">
        <v>46113</v>
      </c>
      <c r="L281" s="32" t="s">
        <v>80</v>
      </c>
      <c r="M281" s="32" t="s">
        <v>144</v>
      </c>
      <c r="N281" s="32" t="s">
        <v>779</v>
      </c>
      <c r="O281" s="32" t="s">
        <v>160</v>
      </c>
      <c r="P281" s="32" t="s">
        <v>101</v>
      </c>
      <c r="Q281" s="32" t="s">
        <v>102</v>
      </c>
      <c r="R281" s="32">
        <v>0</v>
      </c>
      <c r="S281" s="32">
        <v>2</v>
      </c>
      <c r="T281" s="32">
        <v>2</v>
      </c>
      <c r="U281" s="32">
        <v>1</v>
      </c>
      <c r="V281" s="32" t="s">
        <v>96</v>
      </c>
      <c r="W281" s="32" t="s">
        <v>142</v>
      </c>
      <c r="X281" s="32" t="s">
        <v>926</v>
      </c>
    </row>
    <row r="282" spans="1:24" x14ac:dyDescent="0.25">
      <c r="A282" s="32">
        <v>281</v>
      </c>
      <c r="B282" s="32" t="s">
        <v>927</v>
      </c>
      <c r="C282" s="32" t="s">
        <v>20</v>
      </c>
      <c r="D282" s="32" t="s">
        <v>79</v>
      </c>
      <c r="E282" s="32" t="s">
        <v>32</v>
      </c>
      <c r="F282" s="32">
        <v>0</v>
      </c>
      <c r="G282" s="33">
        <v>282</v>
      </c>
      <c r="H282" s="33">
        <v>5578</v>
      </c>
      <c r="I282" s="34">
        <v>5.0999999999999997E-2</v>
      </c>
      <c r="J282" s="35">
        <v>46213</v>
      </c>
      <c r="K282" s="36">
        <v>46204</v>
      </c>
      <c r="L282" s="32" t="s">
        <v>80</v>
      </c>
      <c r="M282" s="32" t="s">
        <v>123</v>
      </c>
      <c r="N282" s="32" t="s">
        <v>928</v>
      </c>
      <c r="O282" s="32" t="s">
        <v>125</v>
      </c>
      <c r="P282" s="32" t="s">
        <v>84</v>
      </c>
      <c r="Q282" s="32" t="s">
        <v>95</v>
      </c>
      <c r="R282" s="32">
        <v>0</v>
      </c>
      <c r="S282" s="32">
        <v>1</v>
      </c>
      <c r="T282" s="32">
        <v>1</v>
      </c>
      <c r="U282" s="32">
        <v>0</v>
      </c>
      <c r="V282" s="32" t="s">
        <v>96</v>
      </c>
      <c r="W282" s="32" t="s">
        <v>929</v>
      </c>
      <c r="X282" s="32" t="s">
        <v>930</v>
      </c>
    </row>
    <row r="283" spans="1:24" x14ac:dyDescent="0.25">
      <c r="A283" s="32">
        <v>282</v>
      </c>
      <c r="B283" s="32" t="s">
        <v>931</v>
      </c>
      <c r="C283" s="32" t="s">
        <v>2</v>
      </c>
      <c r="D283" s="32" t="s">
        <v>79</v>
      </c>
      <c r="E283" s="32" t="s">
        <v>34</v>
      </c>
      <c r="F283" s="32">
        <v>0</v>
      </c>
      <c r="G283" s="33">
        <v>900</v>
      </c>
      <c r="H283" s="33">
        <v>9300</v>
      </c>
      <c r="I283" s="34">
        <v>9.6999999999999906E-2</v>
      </c>
      <c r="J283" s="35">
        <v>46147</v>
      </c>
      <c r="K283" s="36">
        <v>46143</v>
      </c>
      <c r="L283" s="32" t="s">
        <v>80</v>
      </c>
      <c r="M283" s="32" t="s">
        <v>91</v>
      </c>
      <c r="N283" s="32" t="s">
        <v>260</v>
      </c>
      <c r="O283" s="32" t="s">
        <v>125</v>
      </c>
      <c r="P283" s="32" t="s">
        <v>84</v>
      </c>
      <c r="Q283" s="32" t="s">
        <v>85</v>
      </c>
      <c r="R283" s="32">
        <v>0</v>
      </c>
      <c r="S283" s="32">
        <v>1</v>
      </c>
      <c r="T283" s="32">
        <v>1</v>
      </c>
      <c r="U283" s="32">
        <v>0</v>
      </c>
      <c r="V283" s="32" t="s">
        <v>96</v>
      </c>
      <c r="W283" s="32" t="s">
        <v>668</v>
      </c>
      <c r="X283" s="32" t="s">
        <v>932</v>
      </c>
    </row>
    <row r="284" spans="1:24" x14ac:dyDescent="0.25">
      <c r="A284" s="32">
        <v>283</v>
      </c>
      <c r="B284" s="32" t="s">
        <v>933</v>
      </c>
      <c r="C284" s="32" t="s">
        <v>35</v>
      </c>
      <c r="D284" s="32" t="s">
        <v>90</v>
      </c>
      <c r="E284" s="32" t="s">
        <v>32</v>
      </c>
      <c r="F284" s="32">
        <v>0</v>
      </c>
      <c r="G284" s="33">
        <v>14000</v>
      </c>
      <c r="H284" s="33">
        <v>74100</v>
      </c>
      <c r="I284" s="34">
        <v>0.18899999999999989</v>
      </c>
      <c r="J284" s="35">
        <v>46108</v>
      </c>
      <c r="K284" s="36">
        <v>46082</v>
      </c>
      <c r="L284" s="32" t="s">
        <v>80</v>
      </c>
      <c r="M284" s="32" t="s">
        <v>106</v>
      </c>
      <c r="N284" s="32" t="s">
        <v>773</v>
      </c>
      <c r="O284" s="32" t="s">
        <v>160</v>
      </c>
      <c r="P284" s="32" t="s">
        <v>119</v>
      </c>
      <c r="Q284" s="32" t="s">
        <v>114</v>
      </c>
      <c r="R284" s="32">
        <v>0</v>
      </c>
      <c r="S284" s="32">
        <v>1</v>
      </c>
      <c r="T284" s="32">
        <v>1</v>
      </c>
      <c r="U284" s="32">
        <v>0</v>
      </c>
      <c r="V284" s="32" t="s">
        <v>96</v>
      </c>
      <c r="W284" s="32" t="s">
        <v>934</v>
      </c>
      <c r="X284" s="32" t="s">
        <v>935</v>
      </c>
    </row>
    <row r="285" spans="1:24" x14ac:dyDescent="0.25">
      <c r="A285" s="32">
        <v>284</v>
      </c>
      <c r="B285" s="32" t="s">
        <v>936</v>
      </c>
      <c r="C285" s="32" t="s">
        <v>31</v>
      </c>
      <c r="D285" s="32" t="s">
        <v>79</v>
      </c>
      <c r="E285" s="32" t="s">
        <v>32</v>
      </c>
      <c r="F285" s="32">
        <v>0</v>
      </c>
      <c r="G285" s="33">
        <v>101</v>
      </c>
      <c r="H285" s="33">
        <v>55000</v>
      </c>
      <c r="I285" s="34">
        <v>2E-3</v>
      </c>
      <c r="J285" s="35">
        <v>46241</v>
      </c>
      <c r="K285" s="36">
        <v>46235</v>
      </c>
      <c r="L285" s="32" t="s">
        <v>80</v>
      </c>
      <c r="M285" s="32" t="s">
        <v>81</v>
      </c>
      <c r="N285" s="32" t="s">
        <v>674</v>
      </c>
      <c r="O285" s="32" t="s">
        <v>160</v>
      </c>
      <c r="P285" s="32" t="s">
        <v>101</v>
      </c>
      <c r="Q285" s="32" t="s">
        <v>95</v>
      </c>
      <c r="R285" s="32">
        <v>0</v>
      </c>
      <c r="S285" s="32">
        <v>1</v>
      </c>
      <c r="T285" s="32">
        <v>1</v>
      </c>
      <c r="U285" s="32">
        <v>0</v>
      </c>
      <c r="V285" s="32" t="s">
        <v>96</v>
      </c>
      <c r="W285" s="32" t="s">
        <v>264</v>
      </c>
      <c r="X285" s="32" t="s">
        <v>937</v>
      </c>
    </row>
    <row r="286" spans="1:24" x14ac:dyDescent="0.25">
      <c r="A286" s="32">
        <v>285</v>
      </c>
      <c r="B286" s="32" t="s">
        <v>938</v>
      </c>
      <c r="C286" s="32" t="s">
        <v>4</v>
      </c>
      <c r="D286" s="32" t="s">
        <v>79</v>
      </c>
      <c r="E286" s="32" t="s">
        <v>32</v>
      </c>
      <c r="F286" s="32">
        <v>0</v>
      </c>
      <c r="G286" s="33">
        <v>200</v>
      </c>
      <c r="H286" s="33">
        <v>600</v>
      </c>
      <c r="I286" s="34">
        <v>0.33299999999999991</v>
      </c>
      <c r="J286" s="35">
        <v>46217</v>
      </c>
      <c r="K286" s="36">
        <v>46204</v>
      </c>
      <c r="L286" s="32" t="s">
        <v>80</v>
      </c>
      <c r="M286" s="32" t="s">
        <v>123</v>
      </c>
      <c r="N286" s="32" t="s">
        <v>939</v>
      </c>
      <c r="O286" s="32" t="s">
        <v>93</v>
      </c>
      <c r="P286" s="32" t="s">
        <v>94</v>
      </c>
      <c r="Q286" s="32" t="s">
        <v>95</v>
      </c>
      <c r="R286" s="32">
        <v>0</v>
      </c>
      <c r="S286" s="32">
        <v>1</v>
      </c>
      <c r="T286" s="32">
        <v>1</v>
      </c>
      <c r="U286" s="32">
        <v>0</v>
      </c>
      <c r="V286" s="32" t="s">
        <v>96</v>
      </c>
      <c r="W286" s="32" t="s">
        <v>940</v>
      </c>
      <c r="X286" s="32" t="s">
        <v>941</v>
      </c>
    </row>
    <row r="287" spans="1:24" x14ac:dyDescent="0.25">
      <c r="A287" s="32">
        <v>286</v>
      </c>
      <c r="B287" s="32" t="s">
        <v>942</v>
      </c>
      <c r="C287" s="32" t="s">
        <v>17</v>
      </c>
      <c r="D287" s="32" t="s">
        <v>79</v>
      </c>
      <c r="E287" s="32" t="s">
        <v>34</v>
      </c>
      <c r="F287" s="32">
        <v>0</v>
      </c>
      <c r="G287" s="33">
        <v>322</v>
      </c>
      <c r="H287" s="33">
        <v>76000</v>
      </c>
      <c r="I287" s="34">
        <v>4.0000000000000001E-3</v>
      </c>
      <c r="J287" s="35">
        <v>46210</v>
      </c>
      <c r="K287" s="36">
        <v>46204</v>
      </c>
      <c r="L287" s="32" t="s">
        <v>80</v>
      </c>
      <c r="M287" s="32" t="s">
        <v>123</v>
      </c>
      <c r="N287" s="32" t="s">
        <v>357</v>
      </c>
      <c r="O287" s="32" t="s">
        <v>160</v>
      </c>
      <c r="P287" s="32" t="s">
        <v>101</v>
      </c>
      <c r="Q287" s="32" t="s">
        <v>95</v>
      </c>
      <c r="R287" s="32">
        <v>0</v>
      </c>
      <c r="S287" s="32">
        <v>1</v>
      </c>
      <c r="T287" s="32">
        <v>2</v>
      </c>
      <c r="U287" s="32">
        <v>1</v>
      </c>
      <c r="V287" s="32" t="s">
        <v>96</v>
      </c>
      <c r="W287" s="32" t="s">
        <v>759</v>
      </c>
      <c r="X287" s="32" t="s">
        <v>943</v>
      </c>
    </row>
    <row r="288" spans="1:24" x14ac:dyDescent="0.25">
      <c r="A288" s="32">
        <v>287</v>
      </c>
      <c r="B288" s="32" t="s">
        <v>942</v>
      </c>
      <c r="C288" s="32" t="s">
        <v>17</v>
      </c>
      <c r="D288" s="32" t="s">
        <v>79</v>
      </c>
      <c r="E288" s="32" t="s">
        <v>32</v>
      </c>
      <c r="F288" s="32">
        <v>0</v>
      </c>
      <c r="G288" s="33">
        <v>130</v>
      </c>
      <c r="H288" s="33">
        <v>76000</v>
      </c>
      <c r="I288" s="34">
        <v>2E-3</v>
      </c>
      <c r="J288" s="35">
        <v>46267</v>
      </c>
      <c r="K288" s="36">
        <v>46266</v>
      </c>
      <c r="L288" s="32" t="s">
        <v>80</v>
      </c>
      <c r="M288" s="32" t="s">
        <v>151</v>
      </c>
      <c r="N288" s="32" t="s">
        <v>337</v>
      </c>
      <c r="O288" s="32" t="s">
        <v>160</v>
      </c>
      <c r="P288" s="32" t="s">
        <v>101</v>
      </c>
      <c r="Q288" s="32" t="s">
        <v>95</v>
      </c>
      <c r="R288" s="32">
        <v>0</v>
      </c>
      <c r="S288" s="32">
        <v>2</v>
      </c>
      <c r="T288" s="32">
        <v>2</v>
      </c>
      <c r="U288" s="32">
        <v>1</v>
      </c>
      <c r="V288" s="32" t="s">
        <v>96</v>
      </c>
      <c r="W288" s="32" t="s">
        <v>944</v>
      </c>
      <c r="X288" s="32" t="s">
        <v>945</v>
      </c>
    </row>
    <row r="289" spans="1:24" x14ac:dyDescent="0.25">
      <c r="A289" s="32">
        <v>288</v>
      </c>
      <c r="B289" s="32" t="s">
        <v>946</v>
      </c>
      <c r="C289" s="32" t="s">
        <v>17</v>
      </c>
      <c r="D289" s="32" t="s">
        <v>79</v>
      </c>
      <c r="E289" s="32" t="s">
        <v>32</v>
      </c>
      <c r="F289" s="32">
        <v>0</v>
      </c>
      <c r="G289" s="33">
        <v>4000</v>
      </c>
      <c r="H289" s="33">
        <v>67000</v>
      </c>
      <c r="I289" s="34">
        <v>0.06</v>
      </c>
      <c r="J289" s="35">
        <v>46286</v>
      </c>
      <c r="K289" s="36">
        <v>46266</v>
      </c>
      <c r="L289" s="32" t="s">
        <v>80</v>
      </c>
      <c r="M289" s="32" t="s">
        <v>151</v>
      </c>
      <c r="N289" s="32" t="s">
        <v>761</v>
      </c>
      <c r="O289" s="32" t="s">
        <v>160</v>
      </c>
      <c r="P289" s="32" t="s">
        <v>84</v>
      </c>
      <c r="Q289" s="32" t="s">
        <v>102</v>
      </c>
      <c r="R289" s="32">
        <v>0</v>
      </c>
      <c r="S289" s="32">
        <v>1</v>
      </c>
      <c r="T289" s="32">
        <v>2</v>
      </c>
      <c r="U289" s="32">
        <v>1</v>
      </c>
      <c r="V289" s="32" t="s">
        <v>96</v>
      </c>
      <c r="W289" s="32" t="s">
        <v>947</v>
      </c>
      <c r="X289" s="32" t="s">
        <v>948</v>
      </c>
    </row>
    <row r="290" spans="1:24" x14ac:dyDescent="0.25">
      <c r="A290" s="32">
        <v>289</v>
      </c>
      <c r="B290" s="32" t="s">
        <v>946</v>
      </c>
      <c r="C290" s="32" t="s">
        <v>17</v>
      </c>
      <c r="D290" s="32" t="s">
        <v>79</v>
      </c>
      <c r="E290" s="32" t="s">
        <v>32</v>
      </c>
      <c r="F290" s="32">
        <v>0</v>
      </c>
      <c r="G290" s="33">
        <v>108</v>
      </c>
      <c r="H290" s="33">
        <v>67000</v>
      </c>
      <c r="I290" s="34">
        <v>2E-3</v>
      </c>
      <c r="J290" s="35">
        <v>46295</v>
      </c>
      <c r="K290" s="36">
        <v>46266</v>
      </c>
      <c r="L290" s="32" t="s">
        <v>80</v>
      </c>
      <c r="M290" s="32" t="s">
        <v>151</v>
      </c>
      <c r="N290" s="32" t="s">
        <v>361</v>
      </c>
      <c r="O290" s="32" t="s">
        <v>160</v>
      </c>
      <c r="P290" s="32" t="s">
        <v>101</v>
      </c>
      <c r="Q290" s="32" t="s">
        <v>95</v>
      </c>
      <c r="R290" s="32">
        <v>0</v>
      </c>
      <c r="S290" s="32">
        <v>2</v>
      </c>
      <c r="T290" s="32">
        <v>2</v>
      </c>
      <c r="U290" s="32">
        <v>1</v>
      </c>
      <c r="V290" s="32" t="s">
        <v>96</v>
      </c>
      <c r="W290" s="32" t="s">
        <v>305</v>
      </c>
      <c r="X290" s="32" t="s">
        <v>949</v>
      </c>
    </row>
    <row r="291" spans="1:24" x14ac:dyDescent="0.25">
      <c r="A291" s="32">
        <v>290</v>
      </c>
      <c r="B291" s="32" t="s">
        <v>950</v>
      </c>
      <c r="C291" s="32" t="s">
        <v>33</v>
      </c>
      <c r="D291" s="32" t="s">
        <v>90</v>
      </c>
      <c r="E291" s="32" t="s">
        <v>32</v>
      </c>
      <c r="F291" s="32">
        <v>0</v>
      </c>
      <c r="G291" s="33">
        <v>390</v>
      </c>
      <c r="H291" s="33">
        <v>7800</v>
      </c>
      <c r="I291" s="34">
        <v>0.05</v>
      </c>
      <c r="J291" s="35">
        <v>46238</v>
      </c>
      <c r="K291" s="36">
        <v>46235</v>
      </c>
      <c r="L291" s="32" t="s">
        <v>80</v>
      </c>
      <c r="M291" s="32" t="s">
        <v>81</v>
      </c>
      <c r="N291" s="32" t="s">
        <v>544</v>
      </c>
      <c r="O291" s="32" t="s">
        <v>125</v>
      </c>
      <c r="P291" s="32" t="s">
        <v>84</v>
      </c>
      <c r="Q291" s="32" t="s">
        <v>95</v>
      </c>
      <c r="R291" s="32">
        <v>0</v>
      </c>
      <c r="S291" s="32">
        <v>1</v>
      </c>
      <c r="T291" s="32">
        <v>1</v>
      </c>
      <c r="U291" s="32">
        <v>0</v>
      </c>
      <c r="V291" s="32" t="s">
        <v>211</v>
      </c>
      <c r="W291" s="32" t="s">
        <v>212</v>
      </c>
      <c r="X291" s="32" t="s">
        <v>951</v>
      </c>
    </row>
    <row r="292" spans="1:24" x14ac:dyDescent="0.25">
      <c r="A292" s="32">
        <v>291</v>
      </c>
      <c r="B292" s="32" t="s">
        <v>952</v>
      </c>
      <c r="C292" s="32" t="s">
        <v>33</v>
      </c>
      <c r="D292" s="32" t="s">
        <v>90</v>
      </c>
      <c r="E292" s="32" t="s">
        <v>32</v>
      </c>
      <c r="F292" s="32">
        <v>0</v>
      </c>
      <c r="G292" s="33">
        <v>65</v>
      </c>
      <c r="H292" s="33">
        <v>260</v>
      </c>
      <c r="I292" s="34">
        <v>0.25</v>
      </c>
      <c r="J292" s="35">
        <v>46212</v>
      </c>
      <c r="K292" s="36">
        <v>46204</v>
      </c>
      <c r="L292" s="32" t="s">
        <v>80</v>
      </c>
      <c r="M292" s="32" t="s">
        <v>123</v>
      </c>
      <c r="N292" s="32" t="s">
        <v>953</v>
      </c>
      <c r="O292" s="32" t="s">
        <v>93</v>
      </c>
      <c r="P292" s="32" t="s">
        <v>94</v>
      </c>
      <c r="Q292" s="32" t="s">
        <v>137</v>
      </c>
      <c r="R292" s="32">
        <v>0</v>
      </c>
      <c r="S292" s="32">
        <v>1</v>
      </c>
      <c r="T292" s="32">
        <v>1</v>
      </c>
      <c r="U292" s="32">
        <v>0</v>
      </c>
      <c r="V292" s="32" t="s">
        <v>96</v>
      </c>
      <c r="W292" s="32" t="s">
        <v>954</v>
      </c>
      <c r="X292" s="32" t="s">
        <v>955</v>
      </c>
    </row>
    <row r="293" spans="1:24" x14ac:dyDescent="0.25">
      <c r="A293" s="32">
        <v>292</v>
      </c>
      <c r="B293" s="32" t="s">
        <v>956</v>
      </c>
      <c r="C293" s="32" t="s">
        <v>29</v>
      </c>
      <c r="D293" s="32" t="s">
        <v>79</v>
      </c>
      <c r="E293" s="32" t="s">
        <v>37</v>
      </c>
      <c r="F293" s="32">
        <v>0</v>
      </c>
      <c r="G293" s="33">
        <v>15000</v>
      </c>
      <c r="H293" s="33">
        <v>120000</v>
      </c>
      <c r="I293" s="34">
        <v>0.125</v>
      </c>
      <c r="J293" s="35">
        <v>46275</v>
      </c>
      <c r="K293" s="36">
        <v>46266</v>
      </c>
      <c r="L293" s="32" t="s">
        <v>80</v>
      </c>
      <c r="M293" s="32" t="s">
        <v>151</v>
      </c>
      <c r="N293" s="32" t="s">
        <v>286</v>
      </c>
      <c r="O293" s="32" t="s">
        <v>113</v>
      </c>
      <c r="P293" s="32" t="s">
        <v>119</v>
      </c>
      <c r="Q293" s="32" t="s">
        <v>114</v>
      </c>
      <c r="R293" s="32">
        <v>0</v>
      </c>
      <c r="S293" s="32">
        <v>1</v>
      </c>
      <c r="T293" s="32">
        <v>1</v>
      </c>
      <c r="U293" s="32">
        <v>0</v>
      </c>
      <c r="V293" s="32" t="s">
        <v>96</v>
      </c>
      <c r="W293" s="32" t="s">
        <v>957</v>
      </c>
      <c r="X293" s="32" t="s">
        <v>958</v>
      </c>
    </row>
    <row r="294" spans="1:24" x14ac:dyDescent="0.25">
      <c r="A294" s="32">
        <v>293</v>
      </c>
      <c r="B294" s="32" t="s">
        <v>959</v>
      </c>
      <c r="C294" s="32" t="s">
        <v>16</v>
      </c>
      <c r="D294" s="32" t="s">
        <v>79</v>
      </c>
      <c r="E294" s="32" t="s">
        <v>36</v>
      </c>
      <c r="F294" s="32">
        <v>0</v>
      </c>
      <c r="G294" s="33">
        <v>25</v>
      </c>
      <c r="H294" s="33">
        <v>25</v>
      </c>
      <c r="I294" s="34">
        <v>1</v>
      </c>
      <c r="J294" s="35">
        <v>46206</v>
      </c>
      <c r="K294" s="36">
        <v>46204</v>
      </c>
      <c r="L294" s="32" t="s">
        <v>80</v>
      </c>
      <c r="M294" s="32" t="s">
        <v>123</v>
      </c>
      <c r="N294" s="32" t="s">
        <v>437</v>
      </c>
      <c r="O294" s="32" t="s">
        <v>93</v>
      </c>
      <c r="P294" s="32" t="s">
        <v>297</v>
      </c>
      <c r="Q294" s="32" t="s">
        <v>137</v>
      </c>
      <c r="R294" s="32">
        <v>1</v>
      </c>
      <c r="S294" s="32">
        <v>1</v>
      </c>
      <c r="T294" s="32">
        <v>1</v>
      </c>
      <c r="U294" s="32">
        <v>0</v>
      </c>
      <c r="V294" s="32" t="s">
        <v>96</v>
      </c>
      <c r="W294" s="32" t="s">
        <v>960</v>
      </c>
      <c r="X294" s="32" t="s">
        <v>961</v>
      </c>
    </row>
    <row r="295" spans="1:24" x14ac:dyDescent="0.25">
      <c r="A295" s="32">
        <v>294</v>
      </c>
      <c r="B295" s="32" t="s">
        <v>962</v>
      </c>
      <c r="C295" s="32" t="s">
        <v>33</v>
      </c>
      <c r="D295" s="32" t="s">
        <v>90</v>
      </c>
      <c r="E295" s="32" t="s">
        <v>30</v>
      </c>
      <c r="F295" s="32">
        <v>1</v>
      </c>
      <c r="G295" s="33">
        <v>250</v>
      </c>
      <c r="H295" s="33">
        <v>1400</v>
      </c>
      <c r="I295" s="34">
        <v>0.17899999999999999</v>
      </c>
      <c r="J295" s="35">
        <v>46183</v>
      </c>
      <c r="K295" s="36">
        <v>46174</v>
      </c>
      <c r="L295" s="32" t="s">
        <v>80</v>
      </c>
      <c r="M295" s="32" t="s">
        <v>194</v>
      </c>
      <c r="N295" s="32" t="s">
        <v>963</v>
      </c>
      <c r="O295" s="32" t="s">
        <v>125</v>
      </c>
      <c r="P295" s="32" t="s">
        <v>119</v>
      </c>
      <c r="Q295" s="32" t="s">
        <v>95</v>
      </c>
      <c r="R295" s="32">
        <v>0</v>
      </c>
      <c r="S295" s="32">
        <v>1</v>
      </c>
      <c r="T295" s="32">
        <v>1</v>
      </c>
      <c r="U295" s="32">
        <v>0</v>
      </c>
      <c r="V295" s="32" t="s">
        <v>96</v>
      </c>
      <c r="W295" s="32" t="s">
        <v>465</v>
      </c>
      <c r="X295" s="32" t="s">
        <v>964</v>
      </c>
    </row>
    <row r="296" spans="1:24" x14ac:dyDescent="0.25">
      <c r="A296" s="32">
        <v>295</v>
      </c>
      <c r="B296" s="32" t="s">
        <v>965</v>
      </c>
      <c r="C296" s="32" t="s">
        <v>33</v>
      </c>
      <c r="D296" s="32" t="s">
        <v>90</v>
      </c>
      <c r="E296" s="32" t="s">
        <v>30</v>
      </c>
      <c r="F296" s="32">
        <v>1</v>
      </c>
      <c r="G296" s="33">
        <v>30000</v>
      </c>
      <c r="H296" s="33">
        <v>162000</v>
      </c>
      <c r="I296" s="34">
        <v>0.185</v>
      </c>
      <c r="J296" s="35">
        <v>46091</v>
      </c>
      <c r="K296" s="36">
        <v>46082</v>
      </c>
      <c r="L296" s="32" t="s">
        <v>80</v>
      </c>
      <c r="M296" s="32" t="s">
        <v>106</v>
      </c>
      <c r="N296" s="32" t="s">
        <v>520</v>
      </c>
      <c r="O296" s="32" t="s">
        <v>113</v>
      </c>
      <c r="P296" s="32" t="s">
        <v>119</v>
      </c>
      <c r="Q296" s="32" t="s">
        <v>114</v>
      </c>
      <c r="R296" s="32">
        <v>0</v>
      </c>
      <c r="S296" s="32">
        <v>1</v>
      </c>
      <c r="T296" s="32">
        <v>2</v>
      </c>
      <c r="U296" s="32">
        <v>1</v>
      </c>
      <c r="V296" s="32" t="s">
        <v>96</v>
      </c>
      <c r="W296" s="32" t="s">
        <v>966</v>
      </c>
      <c r="X296" s="32" t="s">
        <v>967</v>
      </c>
    </row>
    <row r="297" spans="1:24" x14ac:dyDescent="0.25">
      <c r="A297" s="32">
        <v>296</v>
      </c>
      <c r="B297" s="32" t="s">
        <v>965</v>
      </c>
      <c r="C297" s="32" t="s">
        <v>33</v>
      </c>
      <c r="D297" s="32" t="s">
        <v>90</v>
      </c>
      <c r="E297" s="32" t="s">
        <v>32</v>
      </c>
      <c r="F297" s="32">
        <v>0</v>
      </c>
      <c r="G297" s="33">
        <v>441</v>
      </c>
      <c r="H297" s="33">
        <v>141000</v>
      </c>
      <c r="I297" s="34">
        <v>3.0000000000000001E-3</v>
      </c>
      <c r="J297" s="35">
        <v>46279</v>
      </c>
      <c r="K297" s="36">
        <v>46266</v>
      </c>
      <c r="L297" s="32" t="s">
        <v>80</v>
      </c>
      <c r="M297" s="32" t="s">
        <v>151</v>
      </c>
      <c r="N297" s="32" t="s">
        <v>968</v>
      </c>
      <c r="O297" s="32" t="s">
        <v>113</v>
      </c>
      <c r="P297" s="32" t="s">
        <v>101</v>
      </c>
      <c r="Q297" s="32" t="s">
        <v>95</v>
      </c>
      <c r="R297" s="32">
        <v>0</v>
      </c>
      <c r="S297" s="32">
        <v>2</v>
      </c>
      <c r="T297" s="32">
        <v>2</v>
      </c>
      <c r="U297" s="32">
        <v>1</v>
      </c>
      <c r="V297" s="32" t="s">
        <v>86</v>
      </c>
      <c r="W297" s="32" t="s">
        <v>87</v>
      </c>
      <c r="X297" s="32" t="s">
        <v>88</v>
      </c>
    </row>
    <row r="298" spans="1:24" x14ac:dyDescent="0.25">
      <c r="A298" s="32">
        <v>297</v>
      </c>
      <c r="B298" s="32" t="s">
        <v>969</v>
      </c>
      <c r="C298" s="32" t="s">
        <v>17</v>
      </c>
      <c r="D298" s="32" t="s">
        <v>79</v>
      </c>
      <c r="E298" s="32" t="s">
        <v>32</v>
      </c>
      <c r="F298" s="32">
        <v>0</v>
      </c>
      <c r="G298" s="33">
        <v>419</v>
      </c>
      <c r="H298" s="33">
        <v>14000</v>
      </c>
      <c r="I298" s="34">
        <v>0.03</v>
      </c>
      <c r="J298" s="35">
        <v>46281</v>
      </c>
      <c r="K298" s="36">
        <v>46266</v>
      </c>
      <c r="L298" s="32" t="s">
        <v>80</v>
      </c>
      <c r="M298" s="32" t="s">
        <v>151</v>
      </c>
      <c r="N298" s="32" t="s">
        <v>235</v>
      </c>
      <c r="O298" s="32" t="s">
        <v>83</v>
      </c>
      <c r="P298" s="32" t="s">
        <v>101</v>
      </c>
      <c r="Q298" s="32" t="s">
        <v>95</v>
      </c>
      <c r="R298" s="32">
        <v>0</v>
      </c>
      <c r="S298" s="32">
        <v>1</v>
      </c>
      <c r="T298" s="32">
        <v>1</v>
      </c>
      <c r="U298" s="32">
        <v>0</v>
      </c>
      <c r="V298" s="32" t="s">
        <v>86</v>
      </c>
      <c r="W298" s="32" t="s">
        <v>362</v>
      </c>
      <c r="X298" s="32" t="s">
        <v>970</v>
      </c>
    </row>
    <row r="299" spans="1:24" x14ac:dyDescent="0.25">
      <c r="A299" s="32">
        <v>298</v>
      </c>
      <c r="B299" s="32" t="s">
        <v>971</v>
      </c>
      <c r="C299" s="32" t="s">
        <v>20</v>
      </c>
      <c r="D299" s="32" t="s">
        <v>79</v>
      </c>
      <c r="E299" s="32" t="s">
        <v>32</v>
      </c>
      <c r="F299" s="32">
        <v>0</v>
      </c>
      <c r="G299" s="33">
        <v>52</v>
      </c>
      <c r="H299" s="33">
        <v>43500</v>
      </c>
      <c r="I299" s="34">
        <v>1E-3</v>
      </c>
      <c r="J299" s="35">
        <v>46286</v>
      </c>
      <c r="K299" s="36">
        <v>46266</v>
      </c>
      <c r="L299" s="32" t="s">
        <v>80</v>
      </c>
      <c r="M299" s="32" t="s">
        <v>151</v>
      </c>
      <c r="N299" s="32" t="s">
        <v>761</v>
      </c>
      <c r="O299" s="32" t="s">
        <v>83</v>
      </c>
      <c r="P299" s="32" t="s">
        <v>101</v>
      </c>
      <c r="Q299" s="32" t="s">
        <v>137</v>
      </c>
      <c r="R299" s="32">
        <v>0</v>
      </c>
      <c r="S299" s="32">
        <v>1</v>
      </c>
      <c r="T299" s="32">
        <v>1</v>
      </c>
      <c r="U299" s="32">
        <v>0</v>
      </c>
      <c r="V299" s="32" t="s">
        <v>96</v>
      </c>
      <c r="W299" s="32" t="s">
        <v>264</v>
      </c>
      <c r="X299" s="32" t="s">
        <v>972</v>
      </c>
    </row>
    <row r="300" spans="1:24" x14ac:dyDescent="0.25">
      <c r="A300" s="32">
        <v>299</v>
      </c>
      <c r="B300" s="32" t="s">
        <v>973</v>
      </c>
      <c r="C300" s="32" t="s">
        <v>29</v>
      </c>
      <c r="D300" s="32" t="s">
        <v>79</v>
      </c>
      <c r="E300" s="32" t="s">
        <v>36</v>
      </c>
      <c r="F300" s="32">
        <v>0</v>
      </c>
      <c r="G300" s="33">
        <v>80</v>
      </c>
      <c r="H300" s="33">
        <v>2000</v>
      </c>
      <c r="I300" s="34">
        <v>0.04</v>
      </c>
      <c r="J300" s="35">
        <v>46135</v>
      </c>
      <c r="K300" s="36">
        <v>46113</v>
      </c>
      <c r="L300" s="32" t="s">
        <v>80</v>
      </c>
      <c r="M300" s="32" t="s">
        <v>144</v>
      </c>
      <c r="N300" s="32" t="s">
        <v>779</v>
      </c>
      <c r="O300" s="32" t="s">
        <v>125</v>
      </c>
      <c r="P300" s="32" t="s">
        <v>101</v>
      </c>
      <c r="Q300" s="32" t="s">
        <v>137</v>
      </c>
      <c r="R300" s="32">
        <v>0</v>
      </c>
      <c r="S300" s="32">
        <v>1</v>
      </c>
      <c r="T300" s="32">
        <v>1</v>
      </c>
      <c r="U300" s="32">
        <v>0</v>
      </c>
      <c r="V300" s="32" t="s">
        <v>96</v>
      </c>
      <c r="W300" s="32" t="s">
        <v>974</v>
      </c>
      <c r="X300" s="32" t="s">
        <v>975</v>
      </c>
    </row>
    <row r="301" spans="1:24" x14ac:dyDescent="0.25">
      <c r="A301" s="32">
        <v>300</v>
      </c>
      <c r="B301" s="32" t="s">
        <v>976</v>
      </c>
      <c r="C301" s="32" t="s">
        <v>2</v>
      </c>
      <c r="D301" s="32" t="s">
        <v>79</v>
      </c>
      <c r="E301" s="32" t="s">
        <v>34</v>
      </c>
      <c r="F301" s="32">
        <v>0</v>
      </c>
      <c r="G301" s="33">
        <v>150</v>
      </c>
      <c r="H301" s="33">
        <v>1700</v>
      </c>
      <c r="I301" s="34">
        <v>8.7999999999999995E-2</v>
      </c>
      <c r="J301" s="35">
        <v>46267</v>
      </c>
      <c r="K301" s="36">
        <v>46266</v>
      </c>
      <c r="L301" s="32" t="s">
        <v>80</v>
      </c>
      <c r="M301" s="32" t="s">
        <v>151</v>
      </c>
      <c r="N301" s="32" t="s">
        <v>337</v>
      </c>
      <c r="O301" s="32" t="s">
        <v>125</v>
      </c>
      <c r="P301" s="32" t="s">
        <v>84</v>
      </c>
      <c r="Q301" s="32" t="s">
        <v>95</v>
      </c>
      <c r="R301" s="32">
        <v>0</v>
      </c>
      <c r="S301" s="32">
        <v>1</v>
      </c>
      <c r="T301" s="32">
        <v>1</v>
      </c>
      <c r="U301" s="32">
        <v>0</v>
      </c>
      <c r="V301" s="32" t="s">
        <v>96</v>
      </c>
      <c r="W301" s="32" t="s">
        <v>977</v>
      </c>
      <c r="X301" s="32" t="s">
        <v>978</v>
      </c>
    </row>
    <row r="302" spans="1:24" x14ac:dyDescent="0.25">
      <c r="A302" s="32">
        <v>301</v>
      </c>
      <c r="B302" s="32" t="s">
        <v>979</v>
      </c>
      <c r="C302" s="32" t="s">
        <v>15</v>
      </c>
      <c r="D302" s="32" t="s">
        <v>79</v>
      </c>
      <c r="E302" s="32" t="s">
        <v>37</v>
      </c>
      <c r="F302" s="32">
        <v>0</v>
      </c>
      <c r="G302" s="33">
        <v>777</v>
      </c>
      <c r="H302" s="33">
        <v>2200</v>
      </c>
      <c r="I302" s="34">
        <v>0.35299999999999998</v>
      </c>
      <c r="J302" s="35">
        <v>46132</v>
      </c>
      <c r="K302" s="36">
        <v>46113</v>
      </c>
      <c r="L302" s="32" t="s">
        <v>80</v>
      </c>
      <c r="M302" s="32" t="s">
        <v>144</v>
      </c>
      <c r="N302" s="32" t="s">
        <v>855</v>
      </c>
      <c r="O302" s="32" t="s">
        <v>125</v>
      </c>
      <c r="P302" s="32" t="s">
        <v>94</v>
      </c>
      <c r="Q302" s="32" t="s">
        <v>85</v>
      </c>
      <c r="R302" s="32">
        <v>0</v>
      </c>
      <c r="S302" s="32">
        <v>1</v>
      </c>
      <c r="T302" s="32">
        <v>1</v>
      </c>
      <c r="U302" s="32">
        <v>0</v>
      </c>
      <c r="V302" s="32" t="s">
        <v>96</v>
      </c>
      <c r="W302" s="32" t="s">
        <v>980</v>
      </c>
      <c r="X302" s="32" t="s">
        <v>981</v>
      </c>
    </row>
    <row r="303" spans="1:24" x14ac:dyDescent="0.25">
      <c r="A303" s="32">
        <v>302</v>
      </c>
      <c r="B303" s="32" t="s">
        <v>982</v>
      </c>
      <c r="C303" s="32" t="s">
        <v>20</v>
      </c>
      <c r="D303" s="32" t="s">
        <v>79</v>
      </c>
      <c r="E303" s="32" t="s">
        <v>32</v>
      </c>
      <c r="F303" s="32">
        <v>0</v>
      </c>
      <c r="G303" s="33">
        <v>91</v>
      </c>
      <c r="H303" s="33">
        <v>16800</v>
      </c>
      <c r="I303" s="34">
        <v>5.0000000000000001E-3</v>
      </c>
      <c r="J303" s="35">
        <v>46297</v>
      </c>
      <c r="K303" s="36">
        <v>46296</v>
      </c>
      <c r="L303" s="32" t="s">
        <v>80</v>
      </c>
      <c r="M303" s="32" t="s">
        <v>178</v>
      </c>
      <c r="N303" s="32" t="s">
        <v>198</v>
      </c>
      <c r="O303" s="32" t="s">
        <v>83</v>
      </c>
      <c r="P303" s="32" t="s">
        <v>101</v>
      </c>
      <c r="Q303" s="32" t="s">
        <v>137</v>
      </c>
      <c r="R303" s="32">
        <v>0</v>
      </c>
      <c r="S303" s="32">
        <v>1</v>
      </c>
      <c r="T303" s="32">
        <v>1</v>
      </c>
      <c r="U303" s="32">
        <v>0</v>
      </c>
      <c r="V303" s="32" t="s">
        <v>96</v>
      </c>
      <c r="W303" s="32" t="s">
        <v>983</v>
      </c>
      <c r="X303" s="32" t="s">
        <v>984</v>
      </c>
    </row>
    <row r="304" spans="1:24" x14ac:dyDescent="0.25">
      <c r="A304" s="32">
        <v>303</v>
      </c>
      <c r="B304" s="32" t="s">
        <v>985</v>
      </c>
      <c r="C304" s="32" t="s">
        <v>33</v>
      </c>
      <c r="D304" s="32" t="s">
        <v>90</v>
      </c>
      <c r="E304" s="32" t="s">
        <v>37</v>
      </c>
      <c r="F304" s="32">
        <v>0</v>
      </c>
      <c r="G304" s="33">
        <v>500</v>
      </c>
      <c r="H304" s="33">
        <v>16000</v>
      </c>
      <c r="I304" s="34">
        <v>3.1E-2</v>
      </c>
      <c r="J304" s="35">
        <v>46070</v>
      </c>
      <c r="K304" s="36">
        <v>46054</v>
      </c>
      <c r="L304" s="32" t="s">
        <v>80</v>
      </c>
      <c r="M304" s="32" t="s">
        <v>187</v>
      </c>
      <c r="N304" s="32" t="s">
        <v>986</v>
      </c>
      <c r="O304" s="32" t="s">
        <v>83</v>
      </c>
      <c r="P304" s="32" t="s">
        <v>101</v>
      </c>
      <c r="Q304" s="32" t="s">
        <v>85</v>
      </c>
      <c r="R304" s="32">
        <v>0</v>
      </c>
      <c r="S304" s="32">
        <v>1</v>
      </c>
      <c r="T304" s="32">
        <v>1</v>
      </c>
      <c r="U304" s="32">
        <v>0</v>
      </c>
      <c r="V304" s="32" t="s">
        <v>96</v>
      </c>
      <c r="W304" s="32" t="s">
        <v>97</v>
      </c>
      <c r="X304" s="32" t="s">
        <v>987</v>
      </c>
    </row>
    <row r="305" spans="1:24" x14ac:dyDescent="0.25">
      <c r="A305" s="32">
        <v>304</v>
      </c>
      <c r="B305" s="32" t="s">
        <v>988</v>
      </c>
      <c r="C305" s="32" t="s">
        <v>33</v>
      </c>
      <c r="D305" s="32" t="s">
        <v>90</v>
      </c>
      <c r="E305" s="32" t="s">
        <v>32</v>
      </c>
      <c r="F305" s="32">
        <v>0</v>
      </c>
      <c r="G305" s="33">
        <v>93</v>
      </c>
      <c r="H305" s="33">
        <v>465</v>
      </c>
      <c r="I305" s="34">
        <v>0.2</v>
      </c>
      <c r="J305" s="35">
        <v>46226</v>
      </c>
      <c r="K305" s="36">
        <v>46204</v>
      </c>
      <c r="L305" s="32" t="s">
        <v>80</v>
      </c>
      <c r="M305" s="32" t="s">
        <v>123</v>
      </c>
      <c r="N305" s="32" t="s">
        <v>375</v>
      </c>
      <c r="O305" s="32" t="s">
        <v>93</v>
      </c>
      <c r="P305" s="32" t="s">
        <v>119</v>
      </c>
      <c r="Q305" s="32" t="s">
        <v>137</v>
      </c>
      <c r="R305" s="32">
        <v>0</v>
      </c>
      <c r="S305" s="32">
        <v>1</v>
      </c>
      <c r="T305" s="32">
        <v>1</v>
      </c>
      <c r="U305" s="32">
        <v>0</v>
      </c>
      <c r="V305" s="32" t="s">
        <v>96</v>
      </c>
      <c r="W305" s="32" t="s">
        <v>989</v>
      </c>
      <c r="X305" s="32" t="s">
        <v>990</v>
      </c>
    </row>
    <row r="306" spans="1:24" x14ac:dyDescent="0.25">
      <c r="A306" s="32">
        <v>305</v>
      </c>
      <c r="B306" s="32" t="s">
        <v>991</v>
      </c>
      <c r="C306" s="32" t="s">
        <v>5</v>
      </c>
      <c r="D306" s="32" t="s">
        <v>90</v>
      </c>
      <c r="E306" s="32" t="s">
        <v>30</v>
      </c>
      <c r="F306" s="32">
        <v>1</v>
      </c>
      <c r="G306" s="33">
        <v>4760</v>
      </c>
      <c r="H306" s="33">
        <v>23800</v>
      </c>
      <c r="I306" s="34">
        <v>0.2</v>
      </c>
      <c r="J306" s="35">
        <v>46147</v>
      </c>
      <c r="K306" s="36">
        <v>46143</v>
      </c>
      <c r="L306" s="32" t="s">
        <v>80</v>
      </c>
      <c r="M306" s="32" t="s">
        <v>91</v>
      </c>
      <c r="N306" s="32" t="s">
        <v>260</v>
      </c>
      <c r="O306" s="32" t="s">
        <v>83</v>
      </c>
      <c r="P306" s="32" t="s">
        <v>119</v>
      </c>
      <c r="Q306" s="32" t="s">
        <v>102</v>
      </c>
      <c r="R306" s="32">
        <v>0</v>
      </c>
      <c r="S306" s="32">
        <v>1</v>
      </c>
      <c r="T306" s="32">
        <v>2</v>
      </c>
      <c r="U306" s="32">
        <v>1</v>
      </c>
      <c r="V306" s="32" t="s">
        <v>96</v>
      </c>
      <c r="W306" s="32" t="s">
        <v>175</v>
      </c>
      <c r="X306" s="32" t="s">
        <v>992</v>
      </c>
    </row>
    <row r="307" spans="1:24" x14ac:dyDescent="0.25">
      <c r="A307" s="32">
        <v>306</v>
      </c>
      <c r="B307" s="32" t="s">
        <v>991</v>
      </c>
      <c r="C307" s="32" t="s">
        <v>5</v>
      </c>
      <c r="D307" s="32" t="s">
        <v>90</v>
      </c>
      <c r="E307" s="32" t="s">
        <v>32</v>
      </c>
      <c r="F307" s="32">
        <v>0</v>
      </c>
      <c r="G307" s="33">
        <v>251</v>
      </c>
      <c r="H307" s="33">
        <v>23800</v>
      </c>
      <c r="I307" s="34">
        <v>1.0999999999999999E-2</v>
      </c>
      <c r="J307" s="35">
        <v>46268</v>
      </c>
      <c r="K307" s="36">
        <v>46266</v>
      </c>
      <c r="L307" s="32" t="s">
        <v>80</v>
      </c>
      <c r="M307" s="32" t="s">
        <v>151</v>
      </c>
      <c r="N307" s="32" t="s">
        <v>350</v>
      </c>
      <c r="O307" s="32" t="s">
        <v>83</v>
      </c>
      <c r="P307" s="32" t="s">
        <v>101</v>
      </c>
      <c r="Q307" s="32" t="s">
        <v>95</v>
      </c>
      <c r="R307" s="32">
        <v>0</v>
      </c>
      <c r="S307" s="32">
        <v>2</v>
      </c>
      <c r="T307" s="32">
        <v>2</v>
      </c>
      <c r="U307" s="32">
        <v>1</v>
      </c>
      <c r="V307" s="32" t="s">
        <v>96</v>
      </c>
      <c r="W307" s="32" t="s">
        <v>264</v>
      </c>
      <c r="X307" s="32" t="s">
        <v>993</v>
      </c>
    </row>
    <row r="308" spans="1:24" x14ac:dyDescent="0.25">
      <c r="A308" s="32">
        <v>307</v>
      </c>
      <c r="B308" s="32" t="s">
        <v>994</v>
      </c>
      <c r="C308" s="32" t="s">
        <v>17</v>
      </c>
      <c r="D308" s="32" t="s">
        <v>79</v>
      </c>
      <c r="E308" s="32" t="s">
        <v>32</v>
      </c>
      <c r="F308" s="32">
        <v>0</v>
      </c>
      <c r="G308" s="33">
        <v>150</v>
      </c>
      <c r="H308" s="33">
        <v>16000</v>
      </c>
      <c r="I308" s="34">
        <v>8.9999999999999993E-3</v>
      </c>
      <c r="J308" s="35">
        <v>46282</v>
      </c>
      <c r="K308" s="36">
        <v>46266</v>
      </c>
      <c r="L308" s="32" t="s">
        <v>80</v>
      </c>
      <c r="M308" s="32" t="s">
        <v>151</v>
      </c>
      <c r="N308" s="32" t="s">
        <v>152</v>
      </c>
      <c r="O308" s="32" t="s">
        <v>83</v>
      </c>
      <c r="P308" s="32" t="s">
        <v>101</v>
      </c>
      <c r="Q308" s="32" t="s">
        <v>95</v>
      </c>
      <c r="R308" s="32">
        <v>0</v>
      </c>
      <c r="S308" s="32">
        <v>1</v>
      </c>
      <c r="T308" s="32">
        <v>1</v>
      </c>
      <c r="U308" s="32">
        <v>0</v>
      </c>
      <c r="V308" s="32" t="s">
        <v>96</v>
      </c>
      <c r="W308" s="32" t="s">
        <v>995</v>
      </c>
      <c r="X308" s="32" t="s">
        <v>996</v>
      </c>
    </row>
    <row r="309" spans="1:24" x14ac:dyDescent="0.25">
      <c r="A309" s="32">
        <v>308</v>
      </c>
      <c r="B309" s="32" t="s">
        <v>997</v>
      </c>
      <c r="C309" s="32" t="s">
        <v>4</v>
      </c>
      <c r="D309" s="32" t="s">
        <v>79</v>
      </c>
      <c r="E309" s="32" t="s">
        <v>36</v>
      </c>
      <c r="F309" s="32">
        <v>0</v>
      </c>
      <c r="G309" s="33">
        <v>286</v>
      </c>
      <c r="H309" s="33">
        <v>2600</v>
      </c>
      <c r="I309" s="34">
        <v>0.11</v>
      </c>
      <c r="J309" s="35">
        <v>46023</v>
      </c>
      <c r="K309" s="36">
        <v>46023</v>
      </c>
      <c r="L309" s="32" t="s">
        <v>25</v>
      </c>
      <c r="M309" s="32" t="s">
        <v>100</v>
      </c>
      <c r="N309" s="32" t="s">
        <v>100</v>
      </c>
      <c r="O309" s="32" t="s">
        <v>125</v>
      </c>
      <c r="P309" s="32" t="s">
        <v>119</v>
      </c>
      <c r="Q309" s="32" t="s">
        <v>95</v>
      </c>
      <c r="R309" s="32">
        <v>0</v>
      </c>
      <c r="S309" s="32">
        <v>1</v>
      </c>
      <c r="T309" s="32">
        <v>1</v>
      </c>
      <c r="U309" s="32">
        <v>0</v>
      </c>
      <c r="V309" s="32" t="s">
        <v>96</v>
      </c>
      <c r="W309" s="32" t="s">
        <v>171</v>
      </c>
      <c r="X309" s="32" t="s">
        <v>172</v>
      </c>
    </row>
    <row r="310" spans="1:24" x14ac:dyDescent="0.25">
      <c r="A310" s="32">
        <v>309</v>
      </c>
      <c r="B310" s="32" t="s">
        <v>998</v>
      </c>
      <c r="C310" s="32" t="s">
        <v>33</v>
      </c>
      <c r="D310" s="32" t="s">
        <v>90</v>
      </c>
      <c r="E310" s="32" t="s">
        <v>30</v>
      </c>
      <c r="F310" s="32">
        <v>1</v>
      </c>
      <c r="G310" s="33">
        <v>90</v>
      </c>
      <c r="H310" s="33">
        <v>850</v>
      </c>
      <c r="I310" s="34">
        <v>0.106</v>
      </c>
      <c r="J310" s="35">
        <v>46119</v>
      </c>
      <c r="K310" s="36">
        <v>46113</v>
      </c>
      <c r="L310" s="32" t="s">
        <v>80</v>
      </c>
      <c r="M310" s="32" t="s">
        <v>144</v>
      </c>
      <c r="N310" s="32" t="s">
        <v>651</v>
      </c>
      <c r="O310" s="32" t="s">
        <v>93</v>
      </c>
      <c r="P310" s="32" t="s">
        <v>119</v>
      </c>
      <c r="Q310" s="32" t="s">
        <v>137</v>
      </c>
      <c r="R310" s="32">
        <v>0</v>
      </c>
      <c r="S310" s="32">
        <v>1</v>
      </c>
      <c r="T310" s="32">
        <v>1</v>
      </c>
      <c r="U310" s="32">
        <v>0</v>
      </c>
      <c r="V310" s="32" t="s">
        <v>96</v>
      </c>
      <c r="W310" s="32" t="s">
        <v>999</v>
      </c>
      <c r="X310" s="32" t="s">
        <v>1000</v>
      </c>
    </row>
    <row r="311" spans="1:24" x14ac:dyDescent="0.25">
      <c r="A311" s="32">
        <v>310</v>
      </c>
      <c r="B311" s="32" t="s">
        <v>1001</v>
      </c>
      <c r="C311" s="32" t="s">
        <v>29</v>
      </c>
      <c r="D311" s="32" t="s">
        <v>79</v>
      </c>
      <c r="E311" s="32" t="s">
        <v>32</v>
      </c>
      <c r="F311" s="32">
        <v>0</v>
      </c>
      <c r="G311" s="33">
        <v>75</v>
      </c>
      <c r="H311" s="33">
        <v>25000</v>
      </c>
      <c r="I311" s="34">
        <v>3.0000000000000001E-3</v>
      </c>
      <c r="J311" s="35">
        <v>46156</v>
      </c>
      <c r="K311" s="36">
        <v>46143</v>
      </c>
      <c r="L311" s="32" t="s">
        <v>80</v>
      </c>
      <c r="M311" s="32" t="s">
        <v>91</v>
      </c>
      <c r="N311" s="32" t="s">
        <v>1002</v>
      </c>
      <c r="O311" s="32" t="s">
        <v>83</v>
      </c>
      <c r="P311" s="32" t="s">
        <v>101</v>
      </c>
      <c r="Q311" s="32" t="s">
        <v>137</v>
      </c>
      <c r="R311" s="32">
        <v>0</v>
      </c>
      <c r="S311" s="32">
        <v>1</v>
      </c>
      <c r="T311" s="32">
        <v>1</v>
      </c>
      <c r="U311" s="32">
        <v>0</v>
      </c>
      <c r="V311" s="32" t="s">
        <v>96</v>
      </c>
      <c r="W311" s="32" t="s">
        <v>533</v>
      </c>
      <c r="X311" s="32" t="s">
        <v>1003</v>
      </c>
    </row>
    <row r="312" spans="1:24" x14ac:dyDescent="0.25">
      <c r="A312" s="32">
        <v>311</v>
      </c>
      <c r="B312" s="32" t="s">
        <v>1004</v>
      </c>
      <c r="C312" s="32" t="s">
        <v>33</v>
      </c>
      <c r="D312" s="32" t="s">
        <v>90</v>
      </c>
      <c r="E312" s="32" t="s">
        <v>30</v>
      </c>
      <c r="F312" s="32">
        <v>1</v>
      </c>
      <c r="G312" s="33">
        <v>60</v>
      </c>
      <c r="H312" s="33">
        <v>470</v>
      </c>
      <c r="I312" s="34">
        <v>0.128</v>
      </c>
      <c r="J312" s="35">
        <v>46251</v>
      </c>
      <c r="K312" s="36">
        <v>46235</v>
      </c>
      <c r="L312" s="32" t="s">
        <v>80</v>
      </c>
      <c r="M312" s="32" t="s">
        <v>81</v>
      </c>
      <c r="N312" s="32" t="s">
        <v>334</v>
      </c>
      <c r="O312" s="32" t="s">
        <v>93</v>
      </c>
      <c r="P312" s="32" t="s">
        <v>119</v>
      </c>
      <c r="Q312" s="32" t="s">
        <v>137</v>
      </c>
      <c r="R312" s="32">
        <v>0</v>
      </c>
      <c r="S312" s="32">
        <v>1</v>
      </c>
      <c r="T312" s="32">
        <v>1</v>
      </c>
      <c r="U312" s="32">
        <v>0</v>
      </c>
      <c r="V312" s="32" t="s">
        <v>96</v>
      </c>
      <c r="W312" s="32" t="s">
        <v>97</v>
      </c>
      <c r="X312" s="32" t="s">
        <v>1005</v>
      </c>
    </row>
    <row r="313" spans="1:24" x14ac:dyDescent="0.25">
      <c r="A313" s="32">
        <v>312</v>
      </c>
      <c r="B313" s="32" t="s">
        <v>1006</v>
      </c>
      <c r="C313" s="32" t="s">
        <v>2</v>
      </c>
      <c r="D313" s="32" t="s">
        <v>79</v>
      </c>
      <c r="E313" s="32" t="s">
        <v>37</v>
      </c>
      <c r="F313" s="32">
        <v>0</v>
      </c>
      <c r="G313" s="33">
        <v>169</v>
      </c>
      <c r="H313" s="33">
        <v>8000</v>
      </c>
      <c r="I313" s="34">
        <v>2.1000000000000001E-2</v>
      </c>
      <c r="J313" s="35">
        <v>46290</v>
      </c>
      <c r="K313" s="36">
        <v>46266</v>
      </c>
      <c r="L313" s="32" t="s">
        <v>80</v>
      </c>
      <c r="M313" s="32" t="s">
        <v>151</v>
      </c>
      <c r="N313" s="32" t="s">
        <v>159</v>
      </c>
      <c r="O313" s="32" t="s">
        <v>125</v>
      </c>
      <c r="P313" s="32" t="s">
        <v>101</v>
      </c>
      <c r="Q313" s="32" t="s">
        <v>95</v>
      </c>
      <c r="R313" s="32">
        <v>0</v>
      </c>
      <c r="S313" s="32">
        <v>1</v>
      </c>
      <c r="T313" s="32">
        <v>1</v>
      </c>
      <c r="U313" s="32">
        <v>0</v>
      </c>
      <c r="V313" s="32" t="s">
        <v>96</v>
      </c>
      <c r="W313" s="32" t="s">
        <v>335</v>
      </c>
      <c r="X313" s="32" t="s">
        <v>1007</v>
      </c>
    </row>
    <row r="314" spans="1:24" x14ac:dyDescent="0.25">
      <c r="A314" s="32">
        <v>313</v>
      </c>
      <c r="B314" s="32" t="s">
        <v>1008</v>
      </c>
      <c r="C314" s="32" t="s">
        <v>4</v>
      </c>
      <c r="D314" s="32" t="s">
        <v>79</v>
      </c>
      <c r="E314" s="32" t="s">
        <v>32</v>
      </c>
      <c r="F314" s="32">
        <v>0</v>
      </c>
      <c r="G314" s="33">
        <v>143</v>
      </c>
      <c r="H314" s="33">
        <v>306000</v>
      </c>
      <c r="I314" s="34">
        <v>0</v>
      </c>
      <c r="J314" s="35">
        <v>46280</v>
      </c>
      <c r="K314" s="36">
        <v>46266</v>
      </c>
      <c r="L314" s="32" t="s">
        <v>80</v>
      </c>
      <c r="M314" s="32" t="s">
        <v>151</v>
      </c>
      <c r="N314" s="32" t="s">
        <v>239</v>
      </c>
      <c r="O314" s="32" t="s">
        <v>113</v>
      </c>
      <c r="P314" s="32" t="s">
        <v>101</v>
      </c>
      <c r="Q314" s="32" t="s">
        <v>95</v>
      </c>
      <c r="R314" s="32">
        <v>0</v>
      </c>
      <c r="S314" s="32">
        <v>1</v>
      </c>
      <c r="T314" s="32">
        <v>1</v>
      </c>
      <c r="U314" s="32">
        <v>0</v>
      </c>
      <c r="V314" s="32" t="s">
        <v>96</v>
      </c>
      <c r="W314" s="32" t="s">
        <v>1009</v>
      </c>
      <c r="X314" s="32" t="s">
        <v>1010</v>
      </c>
    </row>
    <row r="315" spans="1:24" x14ac:dyDescent="0.25">
      <c r="A315" s="32">
        <v>314</v>
      </c>
      <c r="B315" s="32" t="s">
        <v>1011</v>
      </c>
      <c r="C315" s="32" t="s">
        <v>20</v>
      </c>
      <c r="D315" s="32" t="s">
        <v>79</v>
      </c>
      <c r="E315" s="32" t="s">
        <v>32</v>
      </c>
      <c r="F315" s="32">
        <v>0</v>
      </c>
      <c r="G315" s="33">
        <v>50</v>
      </c>
      <c r="H315" s="33">
        <v>1500</v>
      </c>
      <c r="I315" s="34">
        <v>3.3000000000000002E-2</v>
      </c>
      <c r="J315" s="35">
        <v>46279</v>
      </c>
      <c r="K315" s="36">
        <v>46266</v>
      </c>
      <c r="L315" s="32" t="s">
        <v>80</v>
      </c>
      <c r="M315" s="32" t="s">
        <v>151</v>
      </c>
      <c r="N315" s="32" t="s">
        <v>968</v>
      </c>
      <c r="O315" s="32" t="s">
        <v>125</v>
      </c>
      <c r="P315" s="32" t="s">
        <v>101</v>
      </c>
      <c r="Q315" s="32" t="s">
        <v>137</v>
      </c>
      <c r="R315" s="32">
        <v>0</v>
      </c>
      <c r="S315" s="32">
        <v>1</v>
      </c>
      <c r="T315" s="32">
        <v>1</v>
      </c>
      <c r="U315" s="32">
        <v>0</v>
      </c>
      <c r="V315" s="32" t="s">
        <v>86</v>
      </c>
      <c r="W315" s="32" t="s">
        <v>1012</v>
      </c>
      <c r="X315" s="32" t="s">
        <v>1013</v>
      </c>
    </row>
    <row r="316" spans="1:24" x14ac:dyDescent="0.25">
      <c r="A316" s="32">
        <v>315</v>
      </c>
      <c r="B316" s="32" t="s">
        <v>1014</v>
      </c>
      <c r="C316" s="32" t="s">
        <v>29</v>
      </c>
      <c r="D316" s="32" t="s">
        <v>79</v>
      </c>
      <c r="E316" s="32" t="s">
        <v>30</v>
      </c>
      <c r="F316" s="32">
        <v>1</v>
      </c>
      <c r="G316" s="33">
        <v>700</v>
      </c>
      <c r="H316" s="33">
        <v>4700</v>
      </c>
      <c r="I316" s="34">
        <v>0.14899999999999999</v>
      </c>
      <c r="J316" s="35">
        <v>46049</v>
      </c>
      <c r="K316" s="36">
        <v>46023</v>
      </c>
      <c r="L316" s="32" t="s">
        <v>80</v>
      </c>
      <c r="M316" s="32" t="s">
        <v>100</v>
      </c>
      <c r="N316" s="32" t="s">
        <v>1015</v>
      </c>
      <c r="O316" s="32" t="s">
        <v>125</v>
      </c>
      <c r="P316" s="32" t="s">
        <v>119</v>
      </c>
      <c r="Q316" s="32" t="s">
        <v>85</v>
      </c>
      <c r="R316" s="32">
        <v>0</v>
      </c>
      <c r="S316" s="32">
        <v>1</v>
      </c>
      <c r="T316" s="32">
        <v>1</v>
      </c>
      <c r="U316" s="32">
        <v>0</v>
      </c>
      <c r="V316" s="32" t="s">
        <v>96</v>
      </c>
      <c r="W316" s="32" t="s">
        <v>264</v>
      </c>
      <c r="X316" s="32" t="s">
        <v>271</v>
      </c>
    </row>
    <row r="317" spans="1:24" x14ac:dyDescent="0.25">
      <c r="A317" s="32">
        <v>316</v>
      </c>
      <c r="B317" s="32" t="s">
        <v>1016</v>
      </c>
      <c r="C317" s="32" t="s">
        <v>5</v>
      </c>
      <c r="D317" s="32" t="s">
        <v>90</v>
      </c>
      <c r="E317" s="32" t="s">
        <v>32</v>
      </c>
      <c r="F317" s="32">
        <v>0</v>
      </c>
      <c r="G317" s="33">
        <v>60</v>
      </c>
      <c r="H317" s="33">
        <v>260</v>
      </c>
      <c r="I317" s="34">
        <v>0.23100000000000001</v>
      </c>
      <c r="J317" s="35">
        <v>46038</v>
      </c>
      <c r="K317" s="36">
        <v>46023</v>
      </c>
      <c r="L317" s="32" t="s">
        <v>80</v>
      </c>
      <c r="M317" s="32" t="s">
        <v>100</v>
      </c>
      <c r="N317" s="32" t="s">
        <v>1017</v>
      </c>
      <c r="O317" s="32" t="s">
        <v>93</v>
      </c>
      <c r="P317" s="32" t="s">
        <v>119</v>
      </c>
      <c r="Q317" s="32" t="s">
        <v>137</v>
      </c>
      <c r="R317" s="32">
        <v>0</v>
      </c>
      <c r="S317" s="32">
        <v>1</v>
      </c>
      <c r="T317" s="32">
        <v>1</v>
      </c>
      <c r="U317" s="32">
        <v>0</v>
      </c>
      <c r="V317" s="32" t="s">
        <v>96</v>
      </c>
      <c r="W317" s="32" t="s">
        <v>1018</v>
      </c>
      <c r="X317" s="32" t="s">
        <v>1019</v>
      </c>
    </row>
    <row r="318" spans="1:24" x14ac:dyDescent="0.25">
      <c r="A318" s="32">
        <v>317</v>
      </c>
      <c r="B318" s="32" t="s">
        <v>1020</v>
      </c>
      <c r="C318" s="32" t="s">
        <v>2</v>
      </c>
      <c r="D318" s="32" t="s">
        <v>79</v>
      </c>
      <c r="E318" s="32" t="s">
        <v>32</v>
      </c>
      <c r="F318" s="32">
        <v>0</v>
      </c>
      <c r="G318" s="33">
        <v>3900</v>
      </c>
      <c r="H318" s="33">
        <v>42000</v>
      </c>
      <c r="I318" s="34">
        <v>9.2999999999999999E-2</v>
      </c>
      <c r="J318" s="35">
        <v>46197</v>
      </c>
      <c r="K318" s="36">
        <v>46174</v>
      </c>
      <c r="L318" s="32" t="s">
        <v>80</v>
      </c>
      <c r="M318" s="32" t="s">
        <v>194</v>
      </c>
      <c r="N318" s="32" t="s">
        <v>513</v>
      </c>
      <c r="O318" s="32" t="s">
        <v>83</v>
      </c>
      <c r="P318" s="32" t="s">
        <v>84</v>
      </c>
      <c r="Q318" s="32" t="s">
        <v>102</v>
      </c>
      <c r="R318" s="32">
        <v>0</v>
      </c>
      <c r="S318" s="32">
        <v>1</v>
      </c>
      <c r="T318" s="32">
        <v>2</v>
      </c>
      <c r="U318" s="32">
        <v>1</v>
      </c>
      <c r="V318" s="32" t="s">
        <v>96</v>
      </c>
      <c r="W318" s="32" t="s">
        <v>1021</v>
      </c>
      <c r="X318" s="32" t="s">
        <v>1022</v>
      </c>
    </row>
    <row r="319" spans="1:24" x14ac:dyDescent="0.25">
      <c r="A319" s="32">
        <v>318</v>
      </c>
      <c r="B319" s="32" t="s">
        <v>1020</v>
      </c>
      <c r="C319" s="32" t="s">
        <v>2</v>
      </c>
      <c r="D319" s="32" t="s">
        <v>79</v>
      </c>
      <c r="E319" s="32" t="s">
        <v>32</v>
      </c>
      <c r="F319" s="32">
        <v>0</v>
      </c>
      <c r="G319" s="33">
        <v>5000</v>
      </c>
      <c r="H319" s="33">
        <v>42000</v>
      </c>
      <c r="I319" s="34">
        <v>0.11899999999999999</v>
      </c>
      <c r="J319" s="35">
        <v>46230</v>
      </c>
      <c r="K319" s="36">
        <v>46204</v>
      </c>
      <c r="L319" s="32" t="s">
        <v>80</v>
      </c>
      <c r="M319" s="32" t="s">
        <v>123</v>
      </c>
      <c r="N319" s="32" t="s">
        <v>327</v>
      </c>
      <c r="O319" s="32" t="s">
        <v>83</v>
      </c>
      <c r="P319" s="32" t="s">
        <v>119</v>
      </c>
      <c r="Q319" s="32" t="s">
        <v>114</v>
      </c>
      <c r="R319" s="32">
        <v>0</v>
      </c>
      <c r="S319" s="32">
        <v>2</v>
      </c>
      <c r="T319" s="32">
        <v>2</v>
      </c>
      <c r="U319" s="32">
        <v>1</v>
      </c>
      <c r="V319" s="32" t="s">
        <v>96</v>
      </c>
      <c r="W319" s="32" t="s">
        <v>142</v>
      </c>
      <c r="X319" s="32" t="s">
        <v>1023</v>
      </c>
    </row>
    <row r="320" spans="1:24" x14ac:dyDescent="0.25">
      <c r="A320" s="32">
        <v>319</v>
      </c>
      <c r="B320" s="32" t="s">
        <v>1024</v>
      </c>
      <c r="C320" s="32" t="s">
        <v>31</v>
      </c>
      <c r="D320" s="32" t="s">
        <v>79</v>
      </c>
      <c r="E320" s="32" t="s">
        <v>36</v>
      </c>
      <c r="F320" s="32">
        <v>0</v>
      </c>
      <c r="G320" s="33">
        <v>25</v>
      </c>
      <c r="H320" s="33">
        <v>7800</v>
      </c>
      <c r="I320" s="34">
        <v>3.0000000000000001E-3</v>
      </c>
      <c r="J320" s="35">
        <v>46239</v>
      </c>
      <c r="K320" s="36">
        <v>46235</v>
      </c>
      <c r="L320" s="32" t="s">
        <v>80</v>
      </c>
      <c r="M320" s="32" t="s">
        <v>81</v>
      </c>
      <c r="N320" s="32" t="s">
        <v>529</v>
      </c>
      <c r="O320" s="32" t="s">
        <v>125</v>
      </c>
      <c r="P320" s="32" t="s">
        <v>101</v>
      </c>
      <c r="Q320" s="32" t="s">
        <v>137</v>
      </c>
      <c r="R320" s="32">
        <v>0</v>
      </c>
      <c r="S320" s="32">
        <v>1</v>
      </c>
      <c r="T320" s="32">
        <v>1</v>
      </c>
      <c r="U320" s="32">
        <v>0</v>
      </c>
      <c r="V320" s="32" t="s">
        <v>96</v>
      </c>
      <c r="W320" s="32" t="s">
        <v>354</v>
      </c>
      <c r="X320" s="32" t="s">
        <v>1025</v>
      </c>
    </row>
    <row r="321" spans="1:24" x14ac:dyDescent="0.25">
      <c r="A321" s="32">
        <v>320</v>
      </c>
      <c r="B321" s="32" t="s">
        <v>1026</v>
      </c>
      <c r="C321" s="32" t="s">
        <v>29</v>
      </c>
      <c r="D321" s="32" t="s">
        <v>79</v>
      </c>
      <c r="E321" s="32" t="s">
        <v>36</v>
      </c>
      <c r="F321" s="32">
        <v>0</v>
      </c>
      <c r="G321" s="33">
        <v>70</v>
      </c>
      <c r="H321" s="33">
        <v>250</v>
      </c>
      <c r="I321" s="34">
        <v>0.28000000000000003</v>
      </c>
      <c r="J321" s="35">
        <v>46161</v>
      </c>
      <c r="K321" s="36">
        <v>46143</v>
      </c>
      <c r="L321" s="32" t="s">
        <v>80</v>
      </c>
      <c r="M321" s="32" t="s">
        <v>91</v>
      </c>
      <c r="N321" s="32" t="s">
        <v>1027</v>
      </c>
      <c r="O321" s="32" t="s">
        <v>93</v>
      </c>
      <c r="P321" s="32" t="s">
        <v>94</v>
      </c>
      <c r="Q321" s="32" t="s">
        <v>137</v>
      </c>
      <c r="R321" s="32">
        <v>0</v>
      </c>
      <c r="S321" s="32">
        <v>1</v>
      </c>
      <c r="T321" s="32">
        <v>1</v>
      </c>
      <c r="U321" s="32">
        <v>0</v>
      </c>
      <c r="V321" s="32" t="s">
        <v>96</v>
      </c>
      <c r="W321" s="32" t="s">
        <v>1028</v>
      </c>
      <c r="X321" s="32" t="s">
        <v>1029</v>
      </c>
    </row>
    <row r="322" spans="1:24" x14ac:dyDescent="0.25">
      <c r="A322" s="32">
        <v>321</v>
      </c>
      <c r="B322" s="32" t="s">
        <v>1030</v>
      </c>
      <c r="C322" s="32" t="s">
        <v>2</v>
      </c>
      <c r="D322" s="32" t="s">
        <v>79</v>
      </c>
      <c r="E322" s="32" t="s">
        <v>32</v>
      </c>
      <c r="F322" s="32">
        <v>0</v>
      </c>
      <c r="G322" s="33">
        <v>164</v>
      </c>
      <c r="H322" s="33">
        <v>560</v>
      </c>
      <c r="I322" s="34">
        <v>0.29299999999999998</v>
      </c>
      <c r="J322" s="35">
        <v>46252</v>
      </c>
      <c r="K322" s="36">
        <v>46235</v>
      </c>
      <c r="L322" s="32" t="s">
        <v>80</v>
      </c>
      <c r="M322" s="32" t="s">
        <v>81</v>
      </c>
      <c r="N322" s="32" t="s">
        <v>167</v>
      </c>
      <c r="O322" s="32" t="s">
        <v>93</v>
      </c>
      <c r="P322" s="32" t="s">
        <v>94</v>
      </c>
      <c r="Q322" s="32" t="s">
        <v>95</v>
      </c>
      <c r="R322" s="32">
        <v>0</v>
      </c>
      <c r="S322" s="32">
        <v>1</v>
      </c>
      <c r="T322" s="32">
        <v>1</v>
      </c>
      <c r="U322" s="32">
        <v>0</v>
      </c>
      <c r="V322" s="32" t="s">
        <v>96</v>
      </c>
      <c r="W322" s="32" t="s">
        <v>514</v>
      </c>
      <c r="X322" s="32" t="s">
        <v>1031</v>
      </c>
    </row>
    <row r="323" spans="1:24" x14ac:dyDescent="0.25">
      <c r="A323" s="32">
        <v>322</v>
      </c>
      <c r="B323" s="32" t="s">
        <v>1032</v>
      </c>
      <c r="C323" s="32" t="s">
        <v>2</v>
      </c>
      <c r="D323" s="32" t="s">
        <v>79</v>
      </c>
      <c r="E323" s="32" t="s">
        <v>32</v>
      </c>
      <c r="F323" s="32">
        <v>0</v>
      </c>
      <c r="G323" s="33">
        <v>189</v>
      </c>
      <c r="H323" s="33">
        <v>189</v>
      </c>
      <c r="I323" s="34">
        <v>1</v>
      </c>
      <c r="J323" s="35">
        <v>46262</v>
      </c>
      <c r="K323" s="36">
        <v>46235</v>
      </c>
      <c r="L323" s="32" t="s">
        <v>80</v>
      </c>
      <c r="M323" s="32" t="s">
        <v>81</v>
      </c>
      <c r="N323" s="32" t="s">
        <v>148</v>
      </c>
      <c r="O323" s="32" t="s">
        <v>93</v>
      </c>
      <c r="P323" s="32" t="s">
        <v>297</v>
      </c>
      <c r="Q323" s="32" t="s">
        <v>95</v>
      </c>
      <c r="R323" s="32">
        <v>1</v>
      </c>
      <c r="S323" s="32">
        <v>1</v>
      </c>
      <c r="T323" s="32">
        <v>1</v>
      </c>
      <c r="U323" s="32">
        <v>0</v>
      </c>
      <c r="V323" s="32" t="s">
        <v>86</v>
      </c>
      <c r="W323" s="32" t="s">
        <v>87</v>
      </c>
      <c r="X323" s="32" t="s">
        <v>88</v>
      </c>
    </row>
    <row r="324" spans="1:24" x14ac:dyDescent="0.25">
      <c r="A324" s="32">
        <v>323</v>
      </c>
      <c r="B324" s="32" t="s">
        <v>1033</v>
      </c>
      <c r="C324" s="32" t="s">
        <v>4</v>
      </c>
      <c r="D324" s="32" t="s">
        <v>79</v>
      </c>
      <c r="E324" s="32" t="s">
        <v>32</v>
      </c>
      <c r="F324" s="32">
        <v>0</v>
      </c>
      <c r="G324" s="33">
        <v>118</v>
      </c>
      <c r="H324" s="33">
        <v>7000</v>
      </c>
      <c r="I324" s="34">
        <v>1.7000000000000001E-2</v>
      </c>
      <c r="J324" s="35">
        <v>46225</v>
      </c>
      <c r="K324" s="36">
        <v>46204</v>
      </c>
      <c r="L324" s="32" t="s">
        <v>80</v>
      </c>
      <c r="M324" s="32" t="s">
        <v>123</v>
      </c>
      <c r="N324" s="32" t="s">
        <v>1034</v>
      </c>
      <c r="O324" s="32" t="s">
        <v>125</v>
      </c>
      <c r="P324" s="32" t="s">
        <v>101</v>
      </c>
      <c r="Q324" s="32" t="s">
        <v>95</v>
      </c>
      <c r="R324" s="32">
        <v>0</v>
      </c>
      <c r="S324" s="32">
        <v>1</v>
      </c>
      <c r="T324" s="32">
        <v>1</v>
      </c>
      <c r="U324" s="32">
        <v>0</v>
      </c>
      <c r="V324" s="32" t="s">
        <v>96</v>
      </c>
      <c r="W324" s="32" t="s">
        <v>264</v>
      </c>
      <c r="X324" s="32" t="s">
        <v>1035</v>
      </c>
    </row>
    <row r="325" spans="1:24" x14ac:dyDescent="0.25">
      <c r="A325" s="32">
        <v>324</v>
      </c>
      <c r="B325" s="32" t="s">
        <v>1036</v>
      </c>
      <c r="C325" s="32" t="s">
        <v>4</v>
      </c>
      <c r="D325" s="32" t="s">
        <v>79</v>
      </c>
      <c r="E325" s="32" t="s">
        <v>36</v>
      </c>
      <c r="F325" s="32">
        <v>0</v>
      </c>
      <c r="G325" s="33">
        <v>7000</v>
      </c>
      <c r="H325" s="33">
        <v>108000</v>
      </c>
      <c r="I325" s="34">
        <v>6.5000000000000002E-2</v>
      </c>
      <c r="J325" s="35"/>
      <c r="K325" s="36"/>
      <c r="L325" s="32" t="s">
        <v>290</v>
      </c>
      <c r="M325" s="32" t="s">
        <v>1037</v>
      </c>
      <c r="N325" s="32" t="s">
        <v>1038</v>
      </c>
      <c r="O325" s="32" t="s">
        <v>113</v>
      </c>
      <c r="P325" s="32" t="s">
        <v>84</v>
      </c>
      <c r="Q325" s="32" t="s">
        <v>114</v>
      </c>
      <c r="R325" s="32">
        <v>0</v>
      </c>
      <c r="S325" s="32">
        <v>1</v>
      </c>
      <c r="T325" s="32">
        <v>1</v>
      </c>
      <c r="U325" s="32">
        <v>0</v>
      </c>
      <c r="V325" s="32" t="s">
        <v>96</v>
      </c>
      <c r="W325" s="32" t="s">
        <v>142</v>
      </c>
      <c r="X325" s="32" t="s">
        <v>1039</v>
      </c>
    </row>
    <row r="326" spans="1:24" x14ac:dyDescent="0.25">
      <c r="A326" s="32">
        <v>325</v>
      </c>
      <c r="B326" s="32" t="s">
        <v>1040</v>
      </c>
      <c r="C326" s="32" t="s">
        <v>15</v>
      </c>
      <c r="D326" s="32" t="s">
        <v>79</v>
      </c>
      <c r="E326" s="32" t="s">
        <v>32</v>
      </c>
      <c r="F326" s="32">
        <v>0</v>
      </c>
      <c r="G326" s="33">
        <v>89</v>
      </c>
      <c r="H326" s="33">
        <v>36824</v>
      </c>
      <c r="I326" s="34">
        <v>2E-3</v>
      </c>
      <c r="J326" s="35">
        <v>46225</v>
      </c>
      <c r="K326" s="36">
        <v>46204</v>
      </c>
      <c r="L326" s="32" t="s">
        <v>80</v>
      </c>
      <c r="M326" s="32" t="s">
        <v>123</v>
      </c>
      <c r="N326" s="32" t="s">
        <v>1034</v>
      </c>
      <c r="O326" s="32" t="s">
        <v>83</v>
      </c>
      <c r="P326" s="32" t="s">
        <v>101</v>
      </c>
      <c r="Q326" s="32" t="s">
        <v>137</v>
      </c>
      <c r="R326" s="32">
        <v>0</v>
      </c>
      <c r="S326" s="32">
        <v>1</v>
      </c>
      <c r="T326" s="32">
        <v>2</v>
      </c>
      <c r="U326" s="32">
        <v>1</v>
      </c>
      <c r="V326" s="32" t="s">
        <v>96</v>
      </c>
      <c r="W326" s="32" t="s">
        <v>1041</v>
      </c>
      <c r="X326" s="32" t="s">
        <v>1042</v>
      </c>
    </row>
    <row r="327" spans="1:24" x14ac:dyDescent="0.25">
      <c r="A327" s="32">
        <v>326</v>
      </c>
      <c r="B327" s="32" t="s">
        <v>1040</v>
      </c>
      <c r="C327" s="32" t="s">
        <v>15</v>
      </c>
      <c r="D327" s="32" t="s">
        <v>79</v>
      </c>
      <c r="E327" s="32" t="s">
        <v>32</v>
      </c>
      <c r="F327" s="32">
        <v>0</v>
      </c>
      <c r="G327" s="33">
        <v>125</v>
      </c>
      <c r="H327" s="33">
        <v>36824</v>
      </c>
      <c r="I327" s="34">
        <v>3.0000000000000001E-3</v>
      </c>
      <c r="J327" s="35">
        <v>46295</v>
      </c>
      <c r="K327" s="36">
        <v>46266</v>
      </c>
      <c r="L327" s="32" t="s">
        <v>80</v>
      </c>
      <c r="M327" s="32" t="s">
        <v>151</v>
      </c>
      <c r="N327" s="32" t="s">
        <v>361</v>
      </c>
      <c r="O327" s="32" t="s">
        <v>83</v>
      </c>
      <c r="P327" s="32" t="s">
        <v>101</v>
      </c>
      <c r="Q327" s="32" t="s">
        <v>95</v>
      </c>
      <c r="R327" s="32">
        <v>0</v>
      </c>
      <c r="S327" s="32">
        <v>2</v>
      </c>
      <c r="T327" s="32">
        <v>2</v>
      </c>
      <c r="U327" s="32">
        <v>1</v>
      </c>
      <c r="V327" s="32" t="s">
        <v>96</v>
      </c>
      <c r="W327" s="32" t="s">
        <v>264</v>
      </c>
      <c r="X327" s="32" t="s">
        <v>1043</v>
      </c>
    </row>
    <row r="328" spans="1:24" x14ac:dyDescent="0.25">
      <c r="A328" s="32">
        <v>327</v>
      </c>
      <c r="B328" s="32" t="s">
        <v>1044</v>
      </c>
      <c r="C328" s="32" t="s">
        <v>33</v>
      </c>
      <c r="D328" s="32" t="s">
        <v>90</v>
      </c>
      <c r="E328" s="32" t="s">
        <v>37</v>
      </c>
      <c r="F328" s="32">
        <v>0</v>
      </c>
      <c r="G328" s="33">
        <v>117</v>
      </c>
      <c r="H328" s="33">
        <v>6454</v>
      </c>
      <c r="I328" s="34">
        <v>1.7999999999999999E-2</v>
      </c>
      <c r="J328" s="35">
        <v>46267</v>
      </c>
      <c r="K328" s="36">
        <v>46266</v>
      </c>
      <c r="L328" s="32" t="s">
        <v>80</v>
      </c>
      <c r="M328" s="32" t="s">
        <v>151</v>
      </c>
      <c r="N328" s="32" t="s">
        <v>337</v>
      </c>
      <c r="O328" s="32" t="s">
        <v>125</v>
      </c>
      <c r="P328" s="32" t="s">
        <v>101</v>
      </c>
      <c r="Q328" s="32" t="s">
        <v>95</v>
      </c>
      <c r="R328" s="32">
        <v>0</v>
      </c>
      <c r="S328" s="32">
        <v>1</v>
      </c>
      <c r="T328" s="32">
        <v>1</v>
      </c>
      <c r="U328" s="32">
        <v>0</v>
      </c>
      <c r="V328" s="32" t="s">
        <v>96</v>
      </c>
      <c r="W328" s="32" t="s">
        <v>149</v>
      </c>
      <c r="X328" s="32" t="s">
        <v>1045</v>
      </c>
    </row>
    <row r="329" spans="1:24" x14ac:dyDescent="0.25">
      <c r="A329" s="32">
        <v>328</v>
      </c>
      <c r="B329" s="32" t="s">
        <v>1046</v>
      </c>
      <c r="C329" s="32" t="s">
        <v>16</v>
      </c>
      <c r="D329" s="32" t="s">
        <v>79</v>
      </c>
      <c r="E329" s="32" t="s">
        <v>34</v>
      </c>
      <c r="F329" s="32">
        <v>0</v>
      </c>
      <c r="G329" s="33">
        <v>200</v>
      </c>
      <c r="H329" s="33">
        <v>3400</v>
      </c>
      <c r="I329" s="34">
        <v>5.8999999999999997E-2</v>
      </c>
      <c r="J329" s="35">
        <v>46296</v>
      </c>
      <c r="K329" s="36">
        <v>46296</v>
      </c>
      <c r="L329" s="32" t="s">
        <v>80</v>
      </c>
      <c r="M329" s="32" t="s">
        <v>178</v>
      </c>
      <c r="N329" s="32" t="s">
        <v>179</v>
      </c>
      <c r="O329" s="32" t="s">
        <v>125</v>
      </c>
      <c r="P329" s="32" t="s">
        <v>84</v>
      </c>
      <c r="Q329" s="32" t="s">
        <v>95</v>
      </c>
      <c r="R329" s="32">
        <v>0</v>
      </c>
      <c r="S329" s="32">
        <v>1</v>
      </c>
      <c r="T329" s="32">
        <v>1</v>
      </c>
      <c r="U329" s="32">
        <v>0</v>
      </c>
      <c r="V329" s="32" t="s">
        <v>96</v>
      </c>
      <c r="W329" s="32" t="s">
        <v>1047</v>
      </c>
      <c r="X329" s="32" t="s">
        <v>1048</v>
      </c>
    </row>
    <row r="330" spans="1:24" x14ac:dyDescent="0.25">
      <c r="A330" s="32">
        <v>329</v>
      </c>
      <c r="B330" s="32" t="s">
        <v>1049</v>
      </c>
      <c r="C330" s="32" t="s">
        <v>20</v>
      </c>
      <c r="D330" s="32" t="s">
        <v>79</v>
      </c>
      <c r="E330" s="32" t="s">
        <v>34</v>
      </c>
      <c r="F330" s="32">
        <v>0</v>
      </c>
      <c r="G330" s="33">
        <v>425</v>
      </c>
      <c r="H330" s="33">
        <v>2500</v>
      </c>
      <c r="I330" s="34">
        <v>0.17</v>
      </c>
      <c r="J330" s="35">
        <v>46261</v>
      </c>
      <c r="K330" s="36">
        <v>46235</v>
      </c>
      <c r="L330" s="32" t="s">
        <v>80</v>
      </c>
      <c r="M330" s="32" t="s">
        <v>81</v>
      </c>
      <c r="N330" s="32" t="s">
        <v>754</v>
      </c>
      <c r="O330" s="32" t="s">
        <v>125</v>
      </c>
      <c r="P330" s="32" t="s">
        <v>119</v>
      </c>
      <c r="Q330" s="32" t="s">
        <v>95</v>
      </c>
      <c r="R330" s="32">
        <v>0</v>
      </c>
      <c r="S330" s="32">
        <v>1</v>
      </c>
      <c r="T330" s="32">
        <v>1</v>
      </c>
      <c r="U330" s="32">
        <v>0</v>
      </c>
      <c r="V330" s="32" t="s">
        <v>96</v>
      </c>
      <c r="W330" s="32" t="s">
        <v>107</v>
      </c>
      <c r="X330" s="32" t="s">
        <v>1050</v>
      </c>
    </row>
    <row r="331" spans="1:24" x14ac:dyDescent="0.25">
      <c r="A331" s="32">
        <v>330</v>
      </c>
      <c r="B331" s="32" t="s">
        <v>1051</v>
      </c>
      <c r="C331" s="32" t="s">
        <v>33</v>
      </c>
      <c r="D331" s="32" t="s">
        <v>90</v>
      </c>
      <c r="E331" s="32" t="s">
        <v>30</v>
      </c>
      <c r="F331" s="32">
        <v>1</v>
      </c>
      <c r="G331" s="33">
        <v>750</v>
      </c>
      <c r="H331" s="33">
        <v>5000</v>
      </c>
      <c r="I331" s="34">
        <v>0.15</v>
      </c>
      <c r="J331" s="35">
        <v>46183</v>
      </c>
      <c r="K331" s="36">
        <v>46174</v>
      </c>
      <c r="L331" s="32" t="s">
        <v>80</v>
      </c>
      <c r="M331" s="32" t="s">
        <v>194</v>
      </c>
      <c r="N331" s="32" t="s">
        <v>963</v>
      </c>
      <c r="O331" s="32" t="s">
        <v>125</v>
      </c>
      <c r="P331" s="32" t="s">
        <v>119</v>
      </c>
      <c r="Q331" s="32" t="s">
        <v>85</v>
      </c>
      <c r="R331" s="32">
        <v>0</v>
      </c>
      <c r="S331" s="32">
        <v>1</v>
      </c>
      <c r="T331" s="32">
        <v>1</v>
      </c>
      <c r="U331" s="32">
        <v>0</v>
      </c>
      <c r="V331" s="32" t="s">
        <v>96</v>
      </c>
      <c r="W331" s="32" t="s">
        <v>1052</v>
      </c>
      <c r="X331" s="32" t="s">
        <v>1053</v>
      </c>
    </row>
    <row r="332" spans="1:24" x14ac:dyDescent="0.25">
      <c r="A332" s="32">
        <v>331</v>
      </c>
      <c r="B332" s="32" t="s">
        <v>1054</v>
      </c>
      <c r="C332" s="32" t="s">
        <v>31</v>
      </c>
      <c r="D332" s="32" t="s">
        <v>79</v>
      </c>
      <c r="E332" s="32" t="s">
        <v>32</v>
      </c>
      <c r="F332" s="32">
        <v>0</v>
      </c>
      <c r="G332" s="33">
        <v>51</v>
      </c>
      <c r="H332" s="33">
        <v>11500</v>
      </c>
      <c r="I332" s="34">
        <v>4.0000000000000001E-3</v>
      </c>
      <c r="J332" s="35">
        <v>46261</v>
      </c>
      <c r="K332" s="36">
        <v>46235</v>
      </c>
      <c r="L332" s="32" t="s">
        <v>80</v>
      </c>
      <c r="M332" s="32" t="s">
        <v>81</v>
      </c>
      <c r="N332" s="32" t="s">
        <v>754</v>
      </c>
      <c r="O332" s="32" t="s">
        <v>83</v>
      </c>
      <c r="P332" s="32" t="s">
        <v>101</v>
      </c>
      <c r="Q332" s="32" t="s">
        <v>137</v>
      </c>
      <c r="R332" s="32">
        <v>0</v>
      </c>
      <c r="S332" s="32">
        <v>1</v>
      </c>
      <c r="T332" s="32">
        <v>1</v>
      </c>
      <c r="U332" s="32">
        <v>0</v>
      </c>
      <c r="V332" s="32" t="s">
        <v>86</v>
      </c>
      <c r="W332" s="32" t="s">
        <v>87</v>
      </c>
      <c r="X332" s="32" t="s">
        <v>88</v>
      </c>
    </row>
    <row r="333" spans="1:24" x14ac:dyDescent="0.25">
      <c r="A333" s="32">
        <v>332</v>
      </c>
      <c r="B333" s="32" t="s">
        <v>1055</v>
      </c>
      <c r="C333" s="32" t="s">
        <v>33</v>
      </c>
      <c r="D333" s="32" t="s">
        <v>90</v>
      </c>
      <c r="E333" s="32" t="s">
        <v>32</v>
      </c>
      <c r="F333" s="32">
        <v>0</v>
      </c>
      <c r="G333" s="33">
        <v>300</v>
      </c>
      <c r="H333" s="33">
        <v>2600</v>
      </c>
      <c r="I333" s="34">
        <v>0.115</v>
      </c>
      <c r="J333" s="35">
        <v>46244</v>
      </c>
      <c r="K333" s="36">
        <v>46235</v>
      </c>
      <c r="L333" s="32" t="s">
        <v>80</v>
      </c>
      <c r="M333" s="32" t="s">
        <v>81</v>
      </c>
      <c r="N333" s="32" t="s">
        <v>705</v>
      </c>
      <c r="O333" s="32" t="s">
        <v>125</v>
      </c>
      <c r="P333" s="32" t="s">
        <v>119</v>
      </c>
      <c r="Q333" s="32" t="s">
        <v>95</v>
      </c>
      <c r="R333" s="32">
        <v>0</v>
      </c>
      <c r="S333" s="32">
        <v>1</v>
      </c>
      <c r="T333" s="32">
        <v>1</v>
      </c>
      <c r="U333" s="32">
        <v>0</v>
      </c>
      <c r="V333" s="32" t="s">
        <v>96</v>
      </c>
      <c r="W333" s="32" t="s">
        <v>1056</v>
      </c>
      <c r="X333" s="32" t="s">
        <v>1057</v>
      </c>
    </row>
    <row r="334" spans="1:24" x14ac:dyDescent="0.25">
      <c r="A334" s="32">
        <v>333</v>
      </c>
      <c r="B334" s="32" t="s">
        <v>1058</v>
      </c>
      <c r="C334" s="32" t="s">
        <v>5</v>
      </c>
      <c r="D334" s="32" t="s">
        <v>90</v>
      </c>
      <c r="E334" s="32" t="s">
        <v>30</v>
      </c>
      <c r="F334" s="32">
        <v>1</v>
      </c>
      <c r="G334" s="33">
        <v>100</v>
      </c>
      <c r="H334" s="33">
        <v>700</v>
      </c>
      <c r="I334" s="34">
        <v>0.14299999999999999</v>
      </c>
      <c r="J334" s="35">
        <v>46170</v>
      </c>
      <c r="K334" s="36">
        <v>46143</v>
      </c>
      <c r="L334" s="32" t="s">
        <v>80</v>
      </c>
      <c r="M334" s="32" t="s">
        <v>91</v>
      </c>
      <c r="N334" s="32" t="s">
        <v>156</v>
      </c>
      <c r="O334" s="32" t="s">
        <v>93</v>
      </c>
      <c r="P334" s="32" t="s">
        <v>119</v>
      </c>
      <c r="Q334" s="32" t="s">
        <v>95</v>
      </c>
      <c r="R334" s="32">
        <v>0</v>
      </c>
      <c r="S334" s="32">
        <v>1</v>
      </c>
      <c r="T334" s="32">
        <v>1</v>
      </c>
      <c r="U334" s="32">
        <v>0</v>
      </c>
      <c r="V334" s="32" t="s">
        <v>96</v>
      </c>
      <c r="W334" s="32" t="s">
        <v>97</v>
      </c>
      <c r="X334" s="32" t="s">
        <v>1059</v>
      </c>
    </row>
    <row r="335" spans="1:24" x14ac:dyDescent="0.25">
      <c r="A335" s="32">
        <v>334</v>
      </c>
      <c r="B335" s="32" t="s">
        <v>1060</v>
      </c>
      <c r="C335" s="32" t="s">
        <v>29</v>
      </c>
      <c r="D335" s="32" t="s">
        <v>79</v>
      </c>
      <c r="E335" s="32" t="s">
        <v>30</v>
      </c>
      <c r="F335" s="32">
        <v>1</v>
      </c>
      <c r="G335" s="33">
        <v>220</v>
      </c>
      <c r="H335" s="33">
        <v>3100</v>
      </c>
      <c r="I335" s="34">
        <v>7.0999999999999994E-2</v>
      </c>
      <c r="J335" s="35">
        <v>46281</v>
      </c>
      <c r="K335" s="36">
        <v>46266</v>
      </c>
      <c r="L335" s="32" t="s">
        <v>80</v>
      </c>
      <c r="M335" s="32" t="s">
        <v>151</v>
      </c>
      <c r="N335" s="32" t="s">
        <v>235</v>
      </c>
      <c r="O335" s="32" t="s">
        <v>125</v>
      </c>
      <c r="P335" s="32" t="s">
        <v>84</v>
      </c>
      <c r="Q335" s="32" t="s">
        <v>95</v>
      </c>
      <c r="R335" s="32">
        <v>0</v>
      </c>
      <c r="S335" s="32">
        <v>1</v>
      </c>
      <c r="T335" s="32">
        <v>1</v>
      </c>
      <c r="U335" s="32">
        <v>0</v>
      </c>
      <c r="V335" s="32" t="s">
        <v>96</v>
      </c>
      <c r="W335" s="32" t="s">
        <v>1061</v>
      </c>
      <c r="X335" s="32" t="s">
        <v>1062</v>
      </c>
    </row>
    <row r="336" spans="1:24" x14ac:dyDescent="0.25">
      <c r="A336" s="32">
        <v>335</v>
      </c>
      <c r="B336" s="32" t="s">
        <v>1063</v>
      </c>
      <c r="C336" s="32" t="s">
        <v>20</v>
      </c>
      <c r="D336" s="32" t="s">
        <v>79</v>
      </c>
      <c r="E336" s="32" t="s">
        <v>32</v>
      </c>
      <c r="F336" s="32">
        <v>0</v>
      </c>
      <c r="G336" s="33">
        <v>135</v>
      </c>
      <c r="H336" s="33">
        <v>1350</v>
      </c>
      <c r="I336" s="34">
        <v>0.1</v>
      </c>
      <c r="J336" s="35">
        <v>46133</v>
      </c>
      <c r="K336" s="36">
        <v>46113</v>
      </c>
      <c r="L336" s="32" t="s">
        <v>80</v>
      </c>
      <c r="M336" s="32" t="s">
        <v>144</v>
      </c>
      <c r="N336" s="32" t="s">
        <v>145</v>
      </c>
      <c r="O336" s="32" t="s">
        <v>125</v>
      </c>
      <c r="P336" s="32" t="s">
        <v>119</v>
      </c>
      <c r="Q336" s="32" t="s">
        <v>95</v>
      </c>
      <c r="R336" s="32">
        <v>0</v>
      </c>
      <c r="S336" s="32">
        <v>1</v>
      </c>
      <c r="T336" s="32">
        <v>1</v>
      </c>
      <c r="U336" s="32">
        <v>0</v>
      </c>
      <c r="V336" s="32" t="s">
        <v>96</v>
      </c>
      <c r="W336" s="32" t="s">
        <v>175</v>
      </c>
      <c r="X336" s="32" t="s">
        <v>1064</v>
      </c>
    </row>
    <row r="337" spans="1:24" x14ac:dyDescent="0.25">
      <c r="A337" s="32">
        <v>336</v>
      </c>
      <c r="B337" s="32" t="s">
        <v>1065</v>
      </c>
      <c r="C337" s="32" t="s">
        <v>15</v>
      </c>
      <c r="D337" s="32" t="s">
        <v>79</v>
      </c>
      <c r="E337" s="32" t="s">
        <v>32</v>
      </c>
      <c r="F337" s="32">
        <v>0</v>
      </c>
      <c r="G337" s="33">
        <v>156</v>
      </c>
      <c r="H337" s="33">
        <v>38711</v>
      </c>
      <c r="I337" s="34">
        <v>4.0000000000000001E-3</v>
      </c>
      <c r="J337" s="35">
        <v>46280</v>
      </c>
      <c r="K337" s="36">
        <v>46266</v>
      </c>
      <c r="L337" s="32" t="s">
        <v>80</v>
      </c>
      <c r="M337" s="32" t="s">
        <v>151</v>
      </c>
      <c r="N337" s="32" t="s">
        <v>239</v>
      </c>
      <c r="O337" s="32" t="s">
        <v>83</v>
      </c>
      <c r="P337" s="32" t="s">
        <v>101</v>
      </c>
      <c r="Q337" s="32" t="s">
        <v>95</v>
      </c>
      <c r="R337" s="32">
        <v>0</v>
      </c>
      <c r="S337" s="32">
        <v>1</v>
      </c>
      <c r="T337" s="32">
        <v>2</v>
      </c>
      <c r="U337" s="32">
        <v>1</v>
      </c>
      <c r="V337" s="32" t="s">
        <v>86</v>
      </c>
      <c r="W337" s="32" t="s">
        <v>1066</v>
      </c>
      <c r="X337" s="32" t="s">
        <v>1067</v>
      </c>
    </row>
    <row r="338" spans="1:24" x14ac:dyDescent="0.25">
      <c r="A338" s="32">
        <v>337</v>
      </c>
      <c r="B338" s="32" t="s">
        <v>1065</v>
      </c>
      <c r="C338" s="32" t="s">
        <v>15</v>
      </c>
      <c r="D338" s="32" t="s">
        <v>79</v>
      </c>
      <c r="E338" s="32" t="s">
        <v>32</v>
      </c>
      <c r="F338" s="32">
        <v>0</v>
      </c>
      <c r="G338" s="33">
        <v>205</v>
      </c>
      <c r="H338" s="33">
        <v>38711</v>
      </c>
      <c r="I338" s="34">
        <v>5.0000000000000001E-3</v>
      </c>
      <c r="J338" s="35">
        <v>46287</v>
      </c>
      <c r="K338" s="36">
        <v>46266</v>
      </c>
      <c r="L338" s="32" t="s">
        <v>80</v>
      </c>
      <c r="M338" s="32" t="s">
        <v>151</v>
      </c>
      <c r="N338" s="32" t="s">
        <v>310</v>
      </c>
      <c r="O338" s="32" t="s">
        <v>83</v>
      </c>
      <c r="P338" s="32" t="s">
        <v>101</v>
      </c>
      <c r="Q338" s="32" t="s">
        <v>95</v>
      </c>
      <c r="R338" s="32">
        <v>0</v>
      </c>
      <c r="S338" s="32">
        <v>2</v>
      </c>
      <c r="T338" s="32">
        <v>2</v>
      </c>
      <c r="U338" s="32">
        <v>1</v>
      </c>
      <c r="V338" s="32" t="s">
        <v>96</v>
      </c>
      <c r="W338" s="32" t="s">
        <v>1068</v>
      </c>
      <c r="X338" s="32" t="s">
        <v>1069</v>
      </c>
    </row>
    <row r="339" spans="1:24" x14ac:dyDescent="0.25">
      <c r="A339" s="32">
        <v>338</v>
      </c>
      <c r="B339" s="32" t="s">
        <v>1070</v>
      </c>
      <c r="C339" s="32" t="s">
        <v>20</v>
      </c>
      <c r="D339" s="32" t="s">
        <v>79</v>
      </c>
      <c r="E339" s="32" t="s">
        <v>32</v>
      </c>
      <c r="F339" s="32">
        <v>0</v>
      </c>
      <c r="G339" s="33">
        <v>284</v>
      </c>
      <c r="H339" s="33">
        <v>12000</v>
      </c>
      <c r="I339" s="34">
        <v>2.4E-2</v>
      </c>
      <c r="J339" s="35">
        <v>46266</v>
      </c>
      <c r="K339" s="36">
        <v>46266</v>
      </c>
      <c r="L339" s="32" t="s">
        <v>80</v>
      </c>
      <c r="M339" s="32" t="s">
        <v>151</v>
      </c>
      <c r="N339" s="32" t="s">
        <v>373</v>
      </c>
      <c r="O339" s="32" t="s">
        <v>83</v>
      </c>
      <c r="P339" s="32" t="s">
        <v>101</v>
      </c>
      <c r="Q339" s="32" t="s">
        <v>95</v>
      </c>
      <c r="R339" s="32">
        <v>0</v>
      </c>
      <c r="S339" s="32">
        <v>1</v>
      </c>
      <c r="T339" s="32">
        <v>1</v>
      </c>
      <c r="U339" s="32">
        <v>0</v>
      </c>
      <c r="V339" s="32" t="s">
        <v>86</v>
      </c>
      <c r="W339" s="32" t="s">
        <v>87</v>
      </c>
      <c r="X339" s="32" t="s">
        <v>88</v>
      </c>
    </row>
    <row r="340" spans="1:24" x14ac:dyDescent="0.25">
      <c r="A340" s="32">
        <v>339</v>
      </c>
      <c r="B340" s="32" t="s">
        <v>1071</v>
      </c>
      <c r="C340" s="32" t="s">
        <v>17</v>
      </c>
      <c r="D340" s="32" t="s">
        <v>79</v>
      </c>
      <c r="E340" s="32" t="s">
        <v>36</v>
      </c>
      <c r="F340" s="32">
        <v>0</v>
      </c>
      <c r="G340" s="33">
        <v>161</v>
      </c>
      <c r="H340" s="33">
        <v>270</v>
      </c>
      <c r="I340" s="34">
        <v>0.59599999999999997</v>
      </c>
      <c r="J340" s="35">
        <v>46133</v>
      </c>
      <c r="K340" s="36">
        <v>46113</v>
      </c>
      <c r="L340" s="32" t="s">
        <v>80</v>
      </c>
      <c r="M340" s="32" t="s">
        <v>144</v>
      </c>
      <c r="N340" s="32" t="s">
        <v>145</v>
      </c>
      <c r="O340" s="32" t="s">
        <v>93</v>
      </c>
      <c r="P340" s="32" t="s">
        <v>94</v>
      </c>
      <c r="Q340" s="32" t="s">
        <v>95</v>
      </c>
      <c r="R340" s="32">
        <v>0</v>
      </c>
      <c r="S340" s="32">
        <v>1</v>
      </c>
      <c r="T340" s="32">
        <v>1</v>
      </c>
      <c r="U340" s="32">
        <v>0</v>
      </c>
      <c r="V340" s="32" t="s">
        <v>96</v>
      </c>
      <c r="W340" s="32" t="s">
        <v>191</v>
      </c>
      <c r="X340" s="32" t="s">
        <v>216</v>
      </c>
    </row>
    <row r="341" spans="1:24" x14ac:dyDescent="0.25">
      <c r="A341" s="32">
        <v>340</v>
      </c>
      <c r="B341" s="32" t="s">
        <v>1072</v>
      </c>
      <c r="C341" s="32" t="s">
        <v>4</v>
      </c>
      <c r="D341" s="32" t="s">
        <v>79</v>
      </c>
      <c r="E341" s="32" t="s">
        <v>37</v>
      </c>
      <c r="F341" s="32">
        <v>0</v>
      </c>
      <c r="G341" s="33">
        <v>2774</v>
      </c>
      <c r="H341" s="33">
        <v>10000</v>
      </c>
      <c r="I341" s="34">
        <v>0.27699999999999991</v>
      </c>
      <c r="J341" s="35">
        <v>46135</v>
      </c>
      <c r="K341" s="36">
        <v>46113</v>
      </c>
      <c r="L341" s="32" t="s">
        <v>80</v>
      </c>
      <c r="M341" s="32" t="s">
        <v>144</v>
      </c>
      <c r="N341" s="32" t="s">
        <v>779</v>
      </c>
      <c r="O341" s="32" t="s">
        <v>83</v>
      </c>
      <c r="P341" s="32" t="s">
        <v>94</v>
      </c>
      <c r="Q341" s="32" t="s">
        <v>102</v>
      </c>
      <c r="R341" s="32">
        <v>0</v>
      </c>
      <c r="S341" s="32">
        <v>1</v>
      </c>
      <c r="T341" s="32">
        <v>1</v>
      </c>
      <c r="U341" s="32">
        <v>0</v>
      </c>
      <c r="V341" s="32" t="s">
        <v>96</v>
      </c>
      <c r="W341" s="32" t="s">
        <v>1073</v>
      </c>
      <c r="X341" s="32" t="s">
        <v>1074</v>
      </c>
    </row>
    <row r="342" spans="1:24" x14ac:dyDescent="0.25">
      <c r="A342" s="32">
        <v>341</v>
      </c>
      <c r="B342" s="32" t="s">
        <v>1075</v>
      </c>
      <c r="C342" s="32" t="s">
        <v>4</v>
      </c>
      <c r="D342" s="32" t="s">
        <v>79</v>
      </c>
      <c r="E342" s="32" t="s">
        <v>32</v>
      </c>
      <c r="F342" s="32">
        <v>0</v>
      </c>
      <c r="G342" s="33">
        <v>85</v>
      </c>
      <c r="H342" s="33">
        <v>10000</v>
      </c>
      <c r="I342" s="34">
        <v>8.9999999999999993E-3</v>
      </c>
      <c r="J342" s="35">
        <v>46150</v>
      </c>
      <c r="K342" s="36">
        <v>46143</v>
      </c>
      <c r="L342" s="32" t="s">
        <v>80</v>
      </c>
      <c r="M342" s="32" t="s">
        <v>91</v>
      </c>
      <c r="N342" s="32" t="s">
        <v>427</v>
      </c>
      <c r="O342" s="32" t="s">
        <v>83</v>
      </c>
      <c r="P342" s="32" t="s">
        <v>101</v>
      </c>
      <c r="Q342" s="32" t="s">
        <v>137</v>
      </c>
      <c r="R342" s="32">
        <v>0</v>
      </c>
      <c r="S342" s="32">
        <v>1</v>
      </c>
      <c r="T342" s="32">
        <v>1</v>
      </c>
      <c r="U342" s="32">
        <v>0</v>
      </c>
      <c r="V342" s="32" t="s">
        <v>86</v>
      </c>
      <c r="W342" s="32" t="s">
        <v>591</v>
      </c>
      <c r="X342" s="32" t="s">
        <v>1076</v>
      </c>
    </row>
    <row r="343" spans="1:24" x14ac:dyDescent="0.25">
      <c r="A343" s="32">
        <v>342</v>
      </c>
      <c r="B343" s="32" t="s">
        <v>1077</v>
      </c>
      <c r="C343" s="32" t="s">
        <v>2</v>
      </c>
      <c r="D343" s="32" t="s">
        <v>79</v>
      </c>
      <c r="E343" s="32" t="s">
        <v>34</v>
      </c>
      <c r="F343" s="32">
        <v>0</v>
      </c>
      <c r="G343" s="33">
        <v>300</v>
      </c>
      <c r="H343" s="33">
        <v>15232</v>
      </c>
      <c r="I343" s="34">
        <v>0.02</v>
      </c>
      <c r="J343" s="35">
        <v>46189</v>
      </c>
      <c r="K343" s="36">
        <v>46174</v>
      </c>
      <c r="L343" s="32" t="s">
        <v>80</v>
      </c>
      <c r="M343" s="32" t="s">
        <v>194</v>
      </c>
      <c r="N343" s="32" t="s">
        <v>195</v>
      </c>
      <c r="O343" s="32" t="s">
        <v>83</v>
      </c>
      <c r="P343" s="32" t="s">
        <v>101</v>
      </c>
      <c r="Q343" s="32" t="s">
        <v>95</v>
      </c>
      <c r="R343" s="32">
        <v>0</v>
      </c>
      <c r="S343" s="32">
        <v>1</v>
      </c>
      <c r="T343" s="32">
        <v>1</v>
      </c>
      <c r="U343" s="32">
        <v>0</v>
      </c>
      <c r="V343" s="32" t="s">
        <v>96</v>
      </c>
      <c r="W343" s="32" t="s">
        <v>142</v>
      </c>
      <c r="X343" s="32" t="s">
        <v>1078</v>
      </c>
    </row>
    <row r="344" spans="1:24" x14ac:dyDescent="0.25">
      <c r="A344" s="32">
        <v>343</v>
      </c>
      <c r="B344" s="32" t="s">
        <v>1079</v>
      </c>
      <c r="C344" s="32" t="s">
        <v>5</v>
      </c>
      <c r="D344" s="32" t="s">
        <v>90</v>
      </c>
      <c r="E344" s="32" t="s">
        <v>32</v>
      </c>
      <c r="F344" s="32">
        <v>0</v>
      </c>
      <c r="G344" s="33">
        <v>290</v>
      </c>
      <c r="H344" s="33">
        <v>2900</v>
      </c>
      <c r="I344" s="34">
        <v>0.1</v>
      </c>
      <c r="J344" s="35">
        <v>46189</v>
      </c>
      <c r="K344" s="36">
        <v>46174</v>
      </c>
      <c r="L344" s="32" t="s">
        <v>80</v>
      </c>
      <c r="M344" s="32" t="s">
        <v>194</v>
      </c>
      <c r="N344" s="32" t="s">
        <v>195</v>
      </c>
      <c r="O344" s="32" t="s">
        <v>125</v>
      </c>
      <c r="P344" s="32" t="s">
        <v>119</v>
      </c>
      <c r="Q344" s="32" t="s">
        <v>95</v>
      </c>
      <c r="R344" s="32">
        <v>0</v>
      </c>
      <c r="S344" s="32">
        <v>1</v>
      </c>
      <c r="T344" s="32">
        <v>1</v>
      </c>
      <c r="U344" s="32">
        <v>0</v>
      </c>
      <c r="V344" s="32" t="s">
        <v>96</v>
      </c>
      <c r="W344" s="32" t="s">
        <v>411</v>
      </c>
      <c r="X344" s="32" t="s">
        <v>1080</v>
      </c>
    </row>
    <row r="345" spans="1:24" x14ac:dyDescent="0.25">
      <c r="A345" s="32">
        <v>344</v>
      </c>
      <c r="B345" s="32" t="s">
        <v>1081</v>
      </c>
      <c r="C345" s="32" t="s">
        <v>4</v>
      </c>
      <c r="D345" s="32" t="s">
        <v>79</v>
      </c>
      <c r="E345" s="32" t="s">
        <v>32</v>
      </c>
      <c r="F345" s="32">
        <v>0</v>
      </c>
      <c r="G345" s="33">
        <v>115</v>
      </c>
      <c r="H345" s="33">
        <v>2000</v>
      </c>
      <c r="I345" s="34">
        <v>5.7999999999999899E-2</v>
      </c>
      <c r="J345" s="35">
        <v>46251</v>
      </c>
      <c r="K345" s="36">
        <v>46235</v>
      </c>
      <c r="L345" s="32" t="s">
        <v>80</v>
      </c>
      <c r="M345" s="32" t="s">
        <v>81</v>
      </c>
      <c r="N345" s="32" t="s">
        <v>334</v>
      </c>
      <c r="O345" s="32" t="s">
        <v>125</v>
      </c>
      <c r="P345" s="32" t="s">
        <v>84</v>
      </c>
      <c r="Q345" s="32" t="s">
        <v>95</v>
      </c>
      <c r="R345" s="32">
        <v>0</v>
      </c>
      <c r="S345" s="32">
        <v>1</v>
      </c>
      <c r="T345" s="32">
        <v>1</v>
      </c>
      <c r="U345" s="32">
        <v>0</v>
      </c>
      <c r="V345" s="32" t="s">
        <v>86</v>
      </c>
      <c r="W345" s="32" t="s">
        <v>87</v>
      </c>
      <c r="X345" s="32" t="s">
        <v>322</v>
      </c>
    </row>
    <row r="346" spans="1:24" x14ac:dyDescent="0.25">
      <c r="A346" s="32">
        <v>345</v>
      </c>
      <c r="B346" s="32" t="s">
        <v>1082</v>
      </c>
      <c r="C346" s="32" t="s">
        <v>20</v>
      </c>
      <c r="D346" s="32" t="s">
        <v>79</v>
      </c>
      <c r="E346" s="32" t="s">
        <v>34</v>
      </c>
      <c r="F346" s="32">
        <v>0</v>
      </c>
      <c r="G346" s="33">
        <v>176</v>
      </c>
      <c r="H346" s="33">
        <v>4000</v>
      </c>
      <c r="I346" s="34">
        <v>4.3999999999999997E-2</v>
      </c>
      <c r="J346" s="35">
        <v>46267</v>
      </c>
      <c r="K346" s="36">
        <v>46266</v>
      </c>
      <c r="L346" s="32" t="s">
        <v>80</v>
      </c>
      <c r="M346" s="32" t="s">
        <v>151</v>
      </c>
      <c r="N346" s="32" t="s">
        <v>337</v>
      </c>
      <c r="O346" s="32" t="s">
        <v>125</v>
      </c>
      <c r="P346" s="32" t="s">
        <v>101</v>
      </c>
      <c r="Q346" s="32" t="s">
        <v>95</v>
      </c>
      <c r="R346" s="32">
        <v>0</v>
      </c>
      <c r="S346" s="32">
        <v>1</v>
      </c>
      <c r="T346" s="32">
        <v>1</v>
      </c>
      <c r="U346" s="32">
        <v>0</v>
      </c>
      <c r="V346" s="32" t="s">
        <v>86</v>
      </c>
      <c r="W346" s="32" t="s">
        <v>87</v>
      </c>
      <c r="X346" s="32" t="s">
        <v>88</v>
      </c>
    </row>
    <row r="347" spans="1:24" x14ac:dyDescent="0.25">
      <c r="A347" s="32">
        <v>346</v>
      </c>
      <c r="B347" s="32" t="s">
        <v>1083</v>
      </c>
      <c r="C347" s="32" t="s">
        <v>2</v>
      </c>
      <c r="D347" s="32" t="s">
        <v>79</v>
      </c>
      <c r="E347" s="32" t="s">
        <v>32</v>
      </c>
      <c r="F347" s="32">
        <v>0</v>
      </c>
      <c r="G347" s="33">
        <v>73</v>
      </c>
      <c r="H347" s="33">
        <v>51600</v>
      </c>
      <c r="I347" s="34">
        <v>1E-3</v>
      </c>
      <c r="J347" s="35">
        <v>46251</v>
      </c>
      <c r="K347" s="36">
        <v>46235</v>
      </c>
      <c r="L347" s="32" t="s">
        <v>80</v>
      </c>
      <c r="M347" s="32" t="s">
        <v>81</v>
      </c>
      <c r="N347" s="32" t="s">
        <v>334</v>
      </c>
      <c r="O347" s="32" t="s">
        <v>160</v>
      </c>
      <c r="P347" s="32" t="s">
        <v>101</v>
      </c>
      <c r="Q347" s="32" t="s">
        <v>137</v>
      </c>
      <c r="R347" s="32">
        <v>0</v>
      </c>
      <c r="S347" s="32">
        <v>1</v>
      </c>
      <c r="T347" s="32">
        <v>1</v>
      </c>
      <c r="U347" s="32">
        <v>0</v>
      </c>
      <c r="V347" s="32" t="s">
        <v>96</v>
      </c>
      <c r="W347" s="32" t="s">
        <v>1084</v>
      </c>
      <c r="X347" s="32" t="s">
        <v>1085</v>
      </c>
    </row>
    <row r="348" spans="1:24" x14ac:dyDescent="0.25">
      <c r="A348" s="32">
        <v>347</v>
      </c>
      <c r="B348" s="32" t="s">
        <v>1086</v>
      </c>
      <c r="C348" s="32" t="s">
        <v>20</v>
      </c>
      <c r="D348" s="32" t="s">
        <v>79</v>
      </c>
      <c r="E348" s="32" t="s">
        <v>32</v>
      </c>
      <c r="F348" s="32">
        <v>0</v>
      </c>
      <c r="G348" s="33">
        <v>170</v>
      </c>
      <c r="H348" s="33">
        <v>5000</v>
      </c>
      <c r="I348" s="34">
        <v>3.4000000000000002E-2</v>
      </c>
      <c r="J348" s="35">
        <v>46023</v>
      </c>
      <c r="K348" s="36">
        <v>46023</v>
      </c>
      <c r="L348" s="32" t="s">
        <v>25</v>
      </c>
      <c r="M348" s="32" t="s">
        <v>100</v>
      </c>
      <c r="N348" s="32" t="s">
        <v>100</v>
      </c>
      <c r="O348" s="32" t="s">
        <v>125</v>
      </c>
      <c r="P348" s="32" t="s">
        <v>101</v>
      </c>
      <c r="Q348" s="32" t="s">
        <v>95</v>
      </c>
      <c r="R348" s="32">
        <v>0</v>
      </c>
      <c r="S348" s="32">
        <v>1</v>
      </c>
      <c r="T348" s="32">
        <v>1</v>
      </c>
      <c r="U348" s="32">
        <v>0</v>
      </c>
      <c r="V348" s="32" t="s">
        <v>96</v>
      </c>
      <c r="W348" s="32" t="s">
        <v>188</v>
      </c>
      <c r="X348" s="32" t="s">
        <v>1087</v>
      </c>
    </row>
    <row r="349" spans="1:24" x14ac:dyDescent="0.25">
      <c r="A349" s="32">
        <v>348</v>
      </c>
      <c r="B349" s="32" t="s">
        <v>1088</v>
      </c>
      <c r="C349" s="32" t="s">
        <v>2</v>
      </c>
      <c r="D349" s="32" t="s">
        <v>79</v>
      </c>
      <c r="E349" s="32" t="s">
        <v>34</v>
      </c>
      <c r="F349" s="32">
        <v>0</v>
      </c>
      <c r="G349" s="33">
        <v>958</v>
      </c>
      <c r="H349" s="33">
        <v>2566</v>
      </c>
      <c r="I349" s="34">
        <v>0.373</v>
      </c>
      <c r="J349" s="35">
        <v>46097</v>
      </c>
      <c r="K349" s="36">
        <v>46082</v>
      </c>
      <c r="L349" s="32" t="s">
        <v>80</v>
      </c>
      <c r="M349" s="32" t="s">
        <v>106</v>
      </c>
      <c r="N349" s="32" t="s">
        <v>476</v>
      </c>
      <c r="O349" s="32" t="s">
        <v>125</v>
      </c>
      <c r="P349" s="32" t="s">
        <v>94</v>
      </c>
      <c r="Q349" s="32" t="s">
        <v>85</v>
      </c>
      <c r="R349" s="32">
        <v>0</v>
      </c>
      <c r="S349" s="32">
        <v>1</v>
      </c>
      <c r="T349" s="32">
        <v>1</v>
      </c>
      <c r="U349" s="32">
        <v>0</v>
      </c>
      <c r="V349" s="32" t="s">
        <v>96</v>
      </c>
      <c r="W349" s="32" t="s">
        <v>1089</v>
      </c>
      <c r="X349" s="32" t="s">
        <v>1090</v>
      </c>
    </row>
    <row r="350" spans="1:24" x14ac:dyDescent="0.25">
      <c r="A350" s="32">
        <v>349</v>
      </c>
      <c r="B350" s="32" t="s">
        <v>1091</v>
      </c>
      <c r="C350" s="32" t="s">
        <v>2</v>
      </c>
      <c r="D350" s="32" t="s">
        <v>79</v>
      </c>
      <c r="E350" s="32" t="s">
        <v>32</v>
      </c>
      <c r="F350" s="32">
        <v>0</v>
      </c>
      <c r="G350" s="33">
        <v>178</v>
      </c>
      <c r="H350" s="33">
        <v>2400</v>
      </c>
      <c r="I350" s="34">
        <v>7.3999999999999996E-2</v>
      </c>
      <c r="J350" s="35">
        <v>46251</v>
      </c>
      <c r="K350" s="36">
        <v>46235</v>
      </c>
      <c r="L350" s="32" t="s">
        <v>80</v>
      </c>
      <c r="M350" s="32" t="s">
        <v>81</v>
      </c>
      <c r="N350" s="32" t="s">
        <v>334</v>
      </c>
      <c r="O350" s="32" t="s">
        <v>125</v>
      </c>
      <c r="P350" s="32" t="s">
        <v>84</v>
      </c>
      <c r="Q350" s="32" t="s">
        <v>95</v>
      </c>
      <c r="R350" s="32">
        <v>0</v>
      </c>
      <c r="S350" s="32">
        <v>1</v>
      </c>
      <c r="T350" s="32">
        <v>1</v>
      </c>
      <c r="U350" s="32">
        <v>0</v>
      </c>
      <c r="V350" s="32" t="s">
        <v>96</v>
      </c>
      <c r="W350" s="32" t="s">
        <v>1092</v>
      </c>
      <c r="X350" s="32" t="s">
        <v>1093</v>
      </c>
    </row>
    <row r="351" spans="1:24" x14ac:dyDescent="0.25">
      <c r="A351" s="32">
        <v>350</v>
      </c>
      <c r="B351" s="32" t="s">
        <v>1094</v>
      </c>
      <c r="C351" s="32" t="s">
        <v>31</v>
      </c>
      <c r="D351" s="32" t="s">
        <v>79</v>
      </c>
      <c r="E351" s="32" t="s">
        <v>32</v>
      </c>
      <c r="F351" s="32">
        <v>0</v>
      </c>
      <c r="G351" s="33">
        <v>1866</v>
      </c>
      <c r="H351" s="33">
        <v>17000</v>
      </c>
      <c r="I351" s="34">
        <v>0.11</v>
      </c>
      <c r="J351" s="35">
        <v>46179</v>
      </c>
      <c r="K351" s="36">
        <v>46174</v>
      </c>
      <c r="L351" s="32" t="s">
        <v>80</v>
      </c>
      <c r="M351" s="32" t="s">
        <v>194</v>
      </c>
      <c r="N351" s="32" t="s">
        <v>571</v>
      </c>
      <c r="O351" s="32" t="s">
        <v>83</v>
      </c>
      <c r="P351" s="32" t="s">
        <v>119</v>
      </c>
      <c r="Q351" s="32" t="s">
        <v>102</v>
      </c>
      <c r="R351" s="32">
        <v>0</v>
      </c>
      <c r="S351" s="32">
        <v>1</v>
      </c>
      <c r="T351" s="32">
        <v>1</v>
      </c>
      <c r="U351" s="32">
        <v>0</v>
      </c>
      <c r="V351" s="32" t="s">
        <v>96</v>
      </c>
      <c r="W351" s="32" t="s">
        <v>671</v>
      </c>
      <c r="X351" s="32" t="s">
        <v>1095</v>
      </c>
    </row>
    <row r="352" spans="1:24" x14ac:dyDescent="0.25">
      <c r="A352" s="32">
        <v>351</v>
      </c>
      <c r="B352" s="32" t="s">
        <v>1096</v>
      </c>
      <c r="C352" s="32" t="s">
        <v>33</v>
      </c>
      <c r="D352" s="32" t="s">
        <v>90</v>
      </c>
      <c r="E352" s="32" t="s">
        <v>30</v>
      </c>
      <c r="F352" s="32">
        <v>1</v>
      </c>
      <c r="G352" s="33">
        <v>1000</v>
      </c>
      <c r="H352" s="33">
        <v>72000</v>
      </c>
      <c r="I352" s="34">
        <v>1.39999999999999E-2</v>
      </c>
      <c r="J352" s="35">
        <v>46054</v>
      </c>
      <c r="K352" s="36">
        <v>46054</v>
      </c>
      <c r="L352" s="32" t="s">
        <v>25</v>
      </c>
      <c r="M352" s="32" t="s">
        <v>187</v>
      </c>
      <c r="N352" s="32" t="s">
        <v>187</v>
      </c>
      <c r="O352" s="32" t="s">
        <v>160</v>
      </c>
      <c r="P352" s="32" t="s">
        <v>101</v>
      </c>
      <c r="Q352" s="32" t="s">
        <v>102</v>
      </c>
      <c r="R352" s="32">
        <v>0</v>
      </c>
      <c r="S352" s="32">
        <v>1</v>
      </c>
      <c r="T352" s="32">
        <v>3</v>
      </c>
      <c r="U352" s="32">
        <v>1</v>
      </c>
      <c r="V352" s="32" t="s">
        <v>96</v>
      </c>
      <c r="W352" s="32" t="s">
        <v>171</v>
      </c>
      <c r="X352" s="32" t="s">
        <v>172</v>
      </c>
    </row>
    <row r="353" spans="1:24" x14ac:dyDescent="0.25">
      <c r="A353" s="32">
        <v>352</v>
      </c>
      <c r="B353" s="32" t="s">
        <v>1096</v>
      </c>
      <c r="C353" s="32" t="s">
        <v>33</v>
      </c>
      <c r="D353" s="32" t="s">
        <v>90</v>
      </c>
      <c r="E353" s="32" t="s">
        <v>30</v>
      </c>
      <c r="F353" s="32">
        <v>1</v>
      </c>
      <c r="G353" s="33">
        <v>86</v>
      </c>
      <c r="H353" s="33">
        <v>80000</v>
      </c>
      <c r="I353" s="34">
        <v>1E-3</v>
      </c>
      <c r="J353" s="35">
        <v>46182</v>
      </c>
      <c r="K353" s="36">
        <v>46174</v>
      </c>
      <c r="L353" s="32" t="s">
        <v>80</v>
      </c>
      <c r="M353" s="32" t="s">
        <v>194</v>
      </c>
      <c r="N353" s="32" t="s">
        <v>560</v>
      </c>
      <c r="O353" s="32" t="s">
        <v>160</v>
      </c>
      <c r="P353" s="32" t="s">
        <v>101</v>
      </c>
      <c r="Q353" s="32" t="s">
        <v>137</v>
      </c>
      <c r="R353" s="32">
        <v>0</v>
      </c>
      <c r="S353" s="32">
        <v>2</v>
      </c>
      <c r="T353" s="32">
        <v>3</v>
      </c>
      <c r="U353" s="32">
        <v>1</v>
      </c>
      <c r="V353" s="32" t="s">
        <v>96</v>
      </c>
      <c r="W353" s="32" t="s">
        <v>1097</v>
      </c>
      <c r="X353" s="32" t="s">
        <v>1098</v>
      </c>
    </row>
    <row r="354" spans="1:24" x14ac:dyDescent="0.25">
      <c r="A354" s="32">
        <v>353</v>
      </c>
      <c r="B354" s="32" t="s">
        <v>1096</v>
      </c>
      <c r="C354" s="32" t="s">
        <v>33</v>
      </c>
      <c r="D354" s="32" t="s">
        <v>90</v>
      </c>
      <c r="E354" s="32" t="s">
        <v>32</v>
      </c>
      <c r="F354" s="32">
        <v>0</v>
      </c>
      <c r="G354" s="33">
        <v>74</v>
      </c>
      <c r="H354" s="33">
        <v>80000</v>
      </c>
      <c r="I354" s="34">
        <v>1E-3</v>
      </c>
      <c r="J354" s="35">
        <v>46239</v>
      </c>
      <c r="K354" s="36">
        <v>46235</v>
      </c>
      <c r="L354" s="32" t="s">
        <v>80</v>
      </c>
      <c r="M354" s="32" t="s">
        <v>81</v>
      </c>
      <c r="N354" s="32" t="s">
        <v>529</v>
      </c>
      <c r="O354" s="32" t="s">
        <v>160</v>
      </c>
      <c r="P354" s="32" t="s">
        <v>101</v>
      </c>
      <c r="Q354" s="32" t="s">
        <v>137</v>
      </c>
      <c r="R354" s="32">
        <v>0</v>
      </c>
      <c r="S354" s="32">
        <v>3</v>
      </c>
      <c r="T354" s="32">
        <v>3</v>
      </c>
      <c r="U354" s="32">
        <v>1</v>
      </c>
      <c r="V354" s="32" t="s">
        <v>86</v>
      </c>
      <c r="W354" s="32" t="s">
        <v>807</v>
      </c>
      <c r="X354" s="32" t="s">
        <v>1099</v>
      </c>
    </row>
    <row r="355" spans="1:24" x14ac:dyDescent="0.25">
      <c r="A355" s="32">
        <v>354</v>
      </c>
      <c r="B355" s="32" t="s">
        <v>1100</v>
      </c>
      <c r="C355" s="32" t="s">
        <v>4</v>
      </c>
      <c r="D355" s="32" t="s">
        <v>79</v>
      </c>
      <c r="E355" s="32" t="s">
        <v>32</v>
      </c>
      <c r="F355" s="32">
        <v>0</v>
      </c>
      <c r="G355" s="33">
        <v>839</v>
      </c>
      <c r="H355" s="33">
        <v>10000</v>
      </c>
      <c r="I355" s="34">
        <v>8.4000000000000005E-2</v>
      </c>
      <c r="J355" s="35">
        <v>46223</v>
      </c>
      <c r="K355" s="36">
        <v>46204</v>
      </c>
      <c r="L355" s="32" t="s">
        <v>80</v>
      </c>
      <c r="M355" s="32" t="s">
        <v>123</v>
      </c>
      <c r="N355" s="32" t="s">
        <v>842</v>
      </c>
      <c r="O355" s="32" t="s">
        <v>83</v>
      </c>
      <c r="P355" s="32" t="s">
        <v>84</v>
      </c>
      <c r="Q355" s="32" t="s">
        <v>85</v>
      </c>
      <c r="R355" s="32">
        <v>0</v>
      </c>
      <c r="S355" s="32">
        <v>1</v>
      </c>
      <c r="T355" s="32">
        <v>1</v>
      </c>
      <c r="U355" s="32">
        <v>0</v>
      </c>
      <c r="V355" s="32" t="s">
        <v>96</v>
      </c>
      <c r="W355" s="32" t="s">
        <v>1101</v>
      </c>
      <c r="X355" s="32" t="s">
        <v>1102</v>
      </c>
    </row>
    <row r="356" spans="1:24" x14ac:dyDescent="0.25">
      <c r="A356" s="32">
        <v>355</v>
      </c>
      <c r="B356" s="32" t="s">
        <v>1103</v>
      </c>
      <c r="C356" s="32" t="s">
        <v>16</v>
      </c>
      <c r="D356" s="32" t="s">
        <v>79</v>
      </c>
      <c r="E356" s="32" t="s">
        <v>32</v>
      </c>
      <c r="F356" s="32">
        <v>0</v>
      </c>
      <c r="G356" s="33">
        <v>82</v>
      </c>
      <c r="H356" s="33">
        <v>105</v>
      </c>
      <c r="I356" s="34">
        <v>0.78099999999999992</v>
      </c>
      <c r="J356" s="35">
        <v>46233</v>
      </c>
      <c r="K356" s="36">
        <v>46204</v>
      </c>
      <c r="L356" s="32" t="s">
        <v>80</v>
      </c>
      <c r="M356" s="32" t="s">
        <v>123</v>
      </c>
      <c r="N356" s="32" t="s">
        <v>734</v>
      </c>
      <c r="O356" s="32" t="s">
        <v>93</v>
      </c>
      <c r="P356" s="32" t="s">
        <v>94</v>
      </c>
      <c r="Q356" s="32" t="s">
        <v>137</v>
      </c>
      <c r="R356" s="32">
        <v>0</v>
      </c>
      <c r="S356" s="32">
        <v>1</v>
      </c>
      <c r="T356" s="32">
        <v>1</v>
      </c>
      <c r="U356" s="32">
        <v>0</v>
      </c>
      <c r="V356" s="32" t="s">
        <v>96</v>
      </c>
      <c r="W356" s="32" t="s">
        <v>1104</v>
      </c>
      <c r="X356" s="32" t="s">
        <v>1105</v>
      </c>
    </row>
    <row r="357" spans="1:24" x14ac:dyDescent="0.25">
      <c r="A357" s="32">
        <v>356</v>
      </c>
      <c r="B357" s="32" t="s">
        <v>1106</v>
      </c>
      <c r="C357" s="32" t="s">
        <v>17</v>
      </c>
      <c r="D357" s="32" t="s">
        <v>79</v>
      </c>
      <c r="E357" s="32" t="s">
        <v>37</v>
      </c>
      <c r="F357" s="32">
        <v>0</v>
      </c>
      <c r="G357" s="33">
        <v>229</v>
      </c>
      <c r="H357" s="33">
        <v>82878</v>
      </c>
      <c r="I357" s="34">
        <v>3.0000000000000001E-3</v>
      </c>
      <c r="J357" s="35">
        <v>46251</v>
      </c>
      <c r="K357" s="36">
        <v>46235</v>
      </c>
      <c r="L357" s="32" t="s">
        <v>80</v>
      </c>
      <c r="M357" s="32" t="s">
        <v>81</v>
      </c>
      <c r="N357" s="32" t="s">
        <v>334</v>
      </c>
      <c r="O357" s="32" t="s">
        <v>160</v>
      </c>
      <c r="P357" s="32" t="s">
        <v>101</v>
      </c>
      <c r="Q357" s="32" t="s">
        <v>95</v>
      </c>
      <c r="R357" s="32">
        <v>0</v>
      </c>
      <c r="S357" s="32">
        <v>1</v>
      </c>
      <c r="T357" s="32">
        <v>1</v>
      </c>
      <c r="U357" s="32">
        <v>0</v>
      </c>
      <c r="V357" s="32" t="s">
        <v>96</v>
      </c>
      <c r="W357" s="32" t="s">
        <v>759</v>
      </c>
      <c r="X357" s="32" t="s">
        <v>1107</v>
      </c>
    </row>
    <row r="358" spans="1:24" x14ac:dyDescent="0.25">
      <c r="A358" s="32">
        <v>357</v>
      </c>
      <c r="B358" s="32" t="s">
        <v>1108</v>
      </c>
      <c r="C358" s="32" t="s">
        <v>33</v>
      </c>
      <c r="D358" s="32" t="s">
        <v>90</v>
      </c>
      <c r="E358" s="32" t="s">
        <v>30</v>
      </c>
      <c r="F358" s="32">
        <v>1</v>
      </c>
      <c r="G358" s="33">
        <v>240</v>
      </c>
      <c r="H358" s="33">
        <v>3000</v>
      </c>
      <c r="I358" s="34">
        <v>0.08</v>
      </c>
      <c r="J358" s="35">
        <v>46171</v>
      </c>
      <c r="K358" s="36">
        <v>46143</v>
      </c>
      <c r="L358" s="32" t="s">
        <v>80</v>
      </c>
      <c r="M358" s="32" t="s">
        <v>91</v>
      </c>
      <c r="N358" s="32" t="s">
        <v>1109</v>
      </c>
      <c r="O358" s="32" t="s">
        <v>125</v>
      </c>
      <c r="P358" s="32" t="s">
        <v>84</v>
      </c>
      <c r="Q358" s="32" t="s">
        <v>95</v>
      </c>
      <c r="R358" s="32">
        <v>0</v>
      </c>
      <c r="S358" s="32">
        <v>1</v>
      </c>
      <c r="T358" s="32">
        <v>1</v>
      </c>
      <c r="U358" s="32">
        <v>0</v>
      </c>
      <c r="V358" s="32" t="s">
        <v>96</v>
      </c>
      <c r="W358" s="32" t="s">
        <v>1110</v>
      </c>
      <c r="X358" s="32" t="s">
        <v>1111</v>
      </c>
    </row>
    <row r="359" spans="1:24" x14ac:dyDescent="0.25">
      <c r="A359" s="32">
        <v>358</v>
      </c>
      <c r="B359" s="32" t="s">
        <v>1112</v>
      </c>
      <c r="C359" s="32" t="s">
        <v>33</v>
      </c>
      <c r="D359" s="32" t="s">
        <v>90</v>
      </c>
      <c r="E359" s="32" t="s">
        <v>30</v>
      </c>
      <c r="F359" s="32">
        <v>1</v>
      </c>
      <c r="G359" s="33">
        <v>287</v>
      </c>
      <c r="H359" s="33">
        <v>30000</v>
      </c>
      <c r="I359" s="34">
        <v>0.01</v>
      </c>
      <c r="J359" s="35">
        <v>46293</v>
      </c>
      <c r="K359" s="36">
        <v>46266</v>
      </c>
      <c r="L359" s="32" t="s">
        <v>80</v>
      </c>
      <c r="M359" s="32" t="s">
        <v>151</v>
      </c>
      <c r="N359" s="32" t="s">
        <v>221</v>
      </c>
      <c r="O359" s="32" t="s">
        <v>83</v>
      </c>
      <c r="P359" s="32" t="s">
        <v>101</v>
      </c>
      <c r="Q359" s="32" t="s">
        <v>95</v>
      </c>
      <c r="R359" s="32">
        <v>0</v>
      </c>
      <c r="S359" s="32">
        <v>1</v>
      </c>
      <c r="T359" s="32">
        <v>1</v>
      </c>
      <c r="U359" s="32">
        <v>0</v>
      </c>
      <c r="V359" s="32" t="s">
        <v>96</v>
      </c>
      <c r="W359" s="32" t="s">
        <v>264</v>
      </c>
      <c r="X359" s="32" t="s">
        <v>1113</v>
      </c>
    </row>
    <row r="360" spans="1:24" x14ac:dyDescent="0.25">
      <c r="A360" s="32">
        <v>359</v>
      </c>
      <c r="B360" s="32" t="s">
        <v>1114</v>
      </c>
      <c r="C360" s="32" t="s">
        <v>17</v>
      </c>
      <c r="D360" s="32" t="s">
        <v>79</v>
      </c>
      <c r="E360" s="32" t="s">
        <v>32</v>
      </c>
      <c r="F360" s="32">
        <v>0</v>
      </c>
      <c r="G360" s="33">
        <v>260</v>
      </c>
      <c r="H360" s="33">
        <v>22000</v>
      </c>
      <c r="I360" s="34">
        <v>1.2E-2</v>
      </c>
      <c r="J360" s="35">
        <v>46246</v>
      </c>
      <c r="K360" s="36">
        <v>46235</v>
      </c>
      <c r="L360" s="32" t="s">
        <v>80</v>
      </c>
      <c r="M360" s="32" t="s">
        <v>81</v>
      </c>
      <c r="N360" s="32" t="s">
        <v>1115</v>
      </c>
      <c r="O360" s="32" t="s">
        <v>83</v>
      </c>
      <c r="P360" s="32" t="s">
        <v>101</v>
      </c>
      <c r="Q360" s="32" t="s">
        <v>95</v>
      </c>
      <c r="R360" s="32">
        <v>0</v>
      </c>
      <c r="S360" s="32">
        <v>1</v>
      </c>
      <c r="T360" s="32">
        <v>1</v>
      </c>
      <c r="U360" s="32">
        <v>0</v>
      </c>
      <c r="V360" s="32" t="s">
        <v>96</v>
      </c>
      <c r="W360" s="32" t="s">
        <v>1116</v>
      </c>
      <c r="X360" s="32" t="s">
        <v>1117</v>
      </c>
    </row>
    <row r="361" spans="1:24" x14ac:dyDescent="0.25">
      <c r="A361" s="32">
        <v>360</v>
      </c>
      <c r="B361" s="32" t="s">
        <v>1118</v>
      </c>
      <c r="C361" s="32" t="s">
        <v>20</v>
      </c>
      <c r="D361" s="32" t="s">
        <v>79</v>
      </c>
      <c r="E361" s="32" t="s">
        <v>32</v>
      </c>
      <c r="F361" s="32">
        <v>0</v>
      </c>
      <c r="G361" s="33">
        <v>64</v>
      </c>
      <c r="H361" s="33">
        <v>85000</v>
      </c>
      <c r="I361" s="34">
        <v>1E-3</v>
      </c>
      <c r="J361" s="35">
        <v>46274</v>
      </c>
      <c r="K361" s="36">
        <v>46266</v>
      </c>
      <c r="L361" s="32" t="s">
        <v>80</v>
      </c>
      <c r="M361" s="32" t="s">
        <v>151</v>
      </c>
      <c r="N361" s="32" t="s">
        <v>296</v>
      </c>
      <c r="O361" s="32" t="s">
        <v>160</v>
      </c>
      <c r="P361" s="32" t="s">
        <v>101</v>
      </c>
      <c r="Q361" s="32" t="s">
        <v>137</v>
      </c>
      <c r="R361" s="32">
        <v>0</v>
      </c>
      <c r="S361" s="32">
        <v>1</v>
      </c>
      <c r="T361" s="32">
        <v>1</v>
      </c>
      <c r="U361" s="32">
        <v>0</v>
      </c>
      <c r="V361" s="32" t="s">
        <v>86</v>
      </c>
      <c r="W361" s="32" t="s">
        <v>87</v>
      </c>
      <c r="X361" s="32" t="s">
        <v>88</v>
      </c>
    </row>
    <row r="362" spans="1:24" x14ac:dyDescent="0.25">
      <c r="A362" s="32">
        <v>361</v>
      </c>
      <c r="B362" s="32" t="s">
        <v>1119</v>
      </c>
      <c r="C362" s="32" t="s">
        <v>20</v>
      </c>
      <c r="D362" s="32" t="s">
        <v>79</v>
      </c>
      <c r="E362" s="32" t="s">
        <v>34</v>
      </c>
      <c r="F362" s="32">
        <v>0</v>
      </c>
      <c r="G362" s="33">
        <v>120</v>
      </c>
      <c r="H362" s="33">
        <v>17320</v>
      </c>
      <c r="I362" s="34">
        <v>6.9999999999999004E-3</v>
      </c>
      <c r="J362" s="35">
        <v>46246</v>
      </c>
      <c r="K362" s="36">
        <v>46235</v>
      </c>
      <c r="L362" s="32" t="s">
        <v>80</v>
      </c>
      <c r="M362" s="32" t="s">
        <v>81</v>
      </c>
      <c r="N362" s="32" t="s">
        <v>1115</v>
      </c>
      <c r="O362" s="32" t="s">
        <v>83</v>
      </c>
      <c r="P362" s="32" t="s">
        <v>101</v>
      </c>
      <c r="Q362" s="32" t="s">
        <v>95</v>
      </c>
      <c r="R362" s="32">
        <v>0</v>
      </c>
      <c r="S362" s="32">
        <v>1</v>
      </c>
      <c r="T362" s="32">
        <v>1</v>
      </c>
      <c r="U362" s="32">
        <v>0</v>
      </c>
      <c r="V362" s="32" t="s">
        <v>96</v>
      </c>
      <c r="W362" s="32" t="s">
        <v>168</v>
      </c>
      <c r="X362" s="32" t="s">
        <v>1120</v>
      </c>
    </row>
    <row r="363" spans="1:24" x14ac:dyDescent="0.25">
      <c r="A363" s="32">
        <v>362</v>
      </c>
      <c r="B363" s="32" t="s">
        <v>1121</v>
      </c>
      <c r="C363" s="32" t="s">
        <v>33</v>
      </c>
      <c r="D363" s="32" t="s">
        <v>90</v>
      </c>
      <c r="E363" s="32" t="s">
        <v>30</v>
      </c>
      <c r="F363" s="32">
        <v>1</v>
      </c>
      <c r="G363" s="33">
        <v>100</v>
      </c>
      <c r="H363" s="33">
        <v>500</v>
      </c>
      <c r="I363" s="34">
        <v>0.2</v>
      </c>
      <c r="J363" s="35">
        <v>46176</v>
      </c>
      <c r="K363" s="36">
        <v>46174</v>
      </c>
      <c r="L363" s="32" t="s">
        <v>80</v>
      </c>
      <c r="M363" s="32" t="s">
        <v>194</v>
      </c>
      <c r="N363" s="32" t="s">
        <v>1122</v>
      </c>
      <c r="O363" s="32" t="s">
        <v>93</v>
      </c>
      <c r="P363" s="32" t="s">
        <v>119</v>
      </c>
      <c r="Q363" s="32" t="s">
        <v>95</v>
      </c>
      <c r="R363" s="32">
        <v>0</v>
      </c>
      <c r="S363" s="32">
        <v>1</v>
      </c>
      <c r="T363" s="32">
        <v>1</v>
      </c>
      <c r="U363" s="32">
        <v>0</v>
      </c>
      <c r="V363" s="32" t="s">
        <v>96</v>
      </c>
      <c r="W363" s="32" t="s">
        <v>97</v>
      </c>
      <c r="X363" s="32" t="s">
        <v>1123</v>
      </c>
    </row>
    <row r="364" spans="1:24" x14ac:dyDescent="0.25">
      <c r="A364" s="32">
        <v>363</v>
      </c>
      <c r="B364" s="32" t="s">
        <v>1124</v>
      </c>
      <c r="C364" s="32" t="s">
        <v>31</v>
      </c>
      <c r="D364" s="32" t="s">
        <v>79</v>
      </c>
      <c r="E364" s="32" t="s">
        <v>37</v>
      </c>
      <c r="F364" s="32">
        <v>0</v>
      </c>
      <c r="G364" s="33">
        <v>500</v>
      </c>
      <c r="H364" s="33">
        <v>500</v>
      </c>
      <c r="I364" s="34">
        <v>1</v>
      </c>
      <c r="J364" s="35">
        <v>46140</v>
      </c>
      <c r="K364" s="36">
        <v>46113</v>
      </c>
      <c r="L364" s="32" t="s">
        <v>80</v>
      </c>
      <c r="M364" s="32" t="s">
        <v>144</v>
      </c>
      <c r="N364" s="32" t="s">
        <v>1125</v>
      </c>
      <c r="O364" s="32" t="s">
        <v>93</v>
      </c>
      <c r="P364" s="32" t="s">
        <v>297</v>
      </c>
      <c r="Q364" s="32" t="s">
        <v>85</v>
      </c>
      <c r="R364" s="32">
        <v>1</v>
      </c>
      <c r="S364" s="32">
        <v>1</v>
      </c>
      <c r="T364" s="32">
        <v>1</v>
      </c>
      <c r="U364" s="32">
        <v>0</v>
      </c>
      <c r="V364" s="32" t="s">
        <v>96</v>
      </c>
      <c r="W364" s="32" t="s">
        <v>107</v>
      </c>
      <c r="X364" s="32" t="s">
        <v>1126</v>
      </c>
    </row>
    <row r="365" spans="1:24" x14ac:dyDescent="0.25">
      <c r="A365" s="32">
        <v>364</v>
      </c>
      <c r="B365" s="32" t="s">
        <v>1127</v>
      </c>
      <c r="C365" s="32" t="s">
        <v>29</v>
      </c>
      <c r="D365" s="32" t="s">
        <v>79</v>
      </c>
      <c r="E365" s="32" t="s">
        <v>30</v>
      </c>
      <c r="F365" s="32">
        <v>1</v>
      </c>
      <c r="G365" s="33">
        <v>1000</v>
      </c>
      <c r="H365" s="33">
        <v>5261</v>
      </c>
      <c r="I365" s="34">
        <v>0.19</v>
      </c>
      <c r="J365" s="35">
        <v>46127</v>
      </c>
      <c r="K365" s="36">
        <v>46113</v>
      </c>
      <c r="L365" s="32" t="s">
        <v>80</v>
      </c>
      <c r="M365" s="32" t="s">
        <v>144</v>
      </c>
      <c r="N365" s="32" t="s">
        <v>218</v>
      </c>
      <c r="O365" s="32" t="s">
        <v>125</v>
      </c>
      <c r="P365" s="32" t="s">
        <v>119</v>
      </c>
      <c r="Q365" s="32" t="s">
        <v>102</v>
      </c>
      <c r="R365" s="32">
        <v>0</v>
      </c>
      <c r="S365" s="32">
        <v>1</v>
      </c>
      <c r="T365" s="32">
        <v>1</v>
      </c>
      <c r="U365" s="32">
        <v>0</v>
      </c>
      <c r="V365" s="32" t="s">
        <v>96</v>
      </c>
      <c r="W365" s="32" t="s">
        <v>331</v>
      </c>
      <c r="X365" s="32" t="s">
        <v>1128</v>
      </c>
    </row>
    <row r="366" spans="1:24" x14ac:dyDescent="0.25">
      <c r="A366" s="32">
        <v>365</v>
      </c>
      <c r="B366" s="32" t="s">
        <v>1129</v>
      </c>
      <c r="C366" s="32" t="s">
        <v>33</v>
      </c>
      <c r="D366" s="32" t="s">
        <v>90</v>
      </c>
      <c r="E366" s="32" t="s">
        <v>30</v>
      </c>
      <c r="F366" s="32">
        <v>1</v>
      </c>
      <c r="G366" s="33">
        <v>70</v>
      </c>
      <c r="H366" s="33">
        <v>8000</v>
      </c>
      <c r="I366" s="34">
        <v>8.9999999999999993E-3</v>
      </c>
      <c r="J366" s="35">
        <v>46102</v>
      </c>
      <c r="K366" s="36">
        <v>46082</v>
      </c>
      <c r="L366" s="32" t="s">
        <v>80</v>
      </c>
      <c r="M366" s="32" t="s">
        <v>106</v>
      </c>
      <c r="N366" s="32" t="s">
        <v>1130</v>
      </c>
      <c r="O366" s="32" t="s">
        <v>125</v>
      </c>
      <c r="P366" s="32" t="s">
        <v>101</v>
      </c>
      <c r="Q366" s="32" t="s">
        <v>137</v>
      </c>
      <c r="R366" s="32">
        <v>0</v>
      </c>
      <c r="S366" s="32">
        <v>1</v>
      </c>
      <c r="T366" s="32">
        <v>1</v>
      </c>
      <c r="U366" s="32">
        <v>0</v>
      </c>
      <c r="V366" s="32" t="s">
        <v>96</v>
      </c>
      <c r="W366" s="32" t="s">
        <v>1131</v>
      </c>
      <c r="X366" s="32" t="s">
        <v>1132</v>
      </c>
    </row>
    <row r="367" spans="1:24" x14ac:dyDescent="0.25">
      <c r="A367" s="32">
        <v>366</v>
      </c>
      <c r="B367" s="32" t="s">
        <v>1133</v>
      </c>
      <c r="C367" s="32" t="s">
        <v>33</v>
      </c>
      <c r="D367" s="32" t="s">
        <v>90</v>
      </c>
      <c r="E367" s="32" t="s">
        <v>30</v>
      </c>
      <c r="F367" s="32">
        <v>1</v>
      </c>
      <c r="G367" s="33">
        <v>90</v>
      </c>
      <c r="H367" s="33">
        <v>1550</v>
      </c>
      <c r="I367" s="34">
        <v>5.7999999999999899E-2</v>
      </c>
      <c r="J367" s="35">
        <v>46197</v>
      </c>
      <c r="K367" s="36">
        <v>46174</v>
      </c>
      <c r="L367" s="32" t="s">
        <v>80</v>
      </c>
      <c r="M367" s="32" t="s">
        <v>194</v>
      </c>
      <c r="N367" s="32" t="s">
        <v>513</v>
      </c>
      <c r="O367" s="32" t="s">
        <v>125</v>
      </c>
      <c r="P367" s="32" t="s">
        <v>84</v>
      </c>
      <c r="Q367" s="32" t="s">
        <v>137</v>
      </c>
      <c r="R367" s="32">
        <v>0</v>
      </c>
      <c r="S367" s="32">
        <v>1</v>
      </c>
      <c r="T367" s="32">
        <v>1</v>
      </c>
      <c r="U367" s="32">
        <v>0</v>
      </c>
      <c r="V367" s="32" t="s">
        <v>96</v>
      </c>
      <c r="W367" s="32" t="s">
        <v>252</v>
      </c>
      <c r="X367" s="32" t="s">
        <v>1134</v>
      </c>
    </row>
    <row r="368" spans="1:24" x14ac:dyDescent="0.25">
      <c r="A368" s="32">
        <v>367</v>
      </c>
      <c r="B368" s="32" t="s">
        <v>1135</v>
      </c>
      <c r="C368" s="32" t="s">
        <v>31</v>
      </c>
      <c r="D368" s="32" t="s">
        <v>79</v>
      </c>
      <c r="E368" s="32" t="s">
        <v>32</v>
      </c>
      <c r="F368" s="32">
        <v>0</v>
      </c>
      <c r="G368" s="33">
        <v>296</v>
      </c>
      <c r="H368" s="33">
        <v>426464</v>
      </c>
      <c r="I368" s="34">
        <v>1E-3</v>
      </c>
      <c r="J368" s="35">
        <v>46167</v>
      </c>
      <c r="K368" s="36">
        <v>46143</v>
      </c>
      <c r="L368" s="32" t="s">
        <v>80</v>
      </c>
      <c r="M368" s="32" t="s">
        <v>91</v>
      </c>
      <c r="N368" s="32" t="s">
        <v>1136</v>
      </c>
      <c r="O368" s="32" t="s">
        <v>113</v>
      </c>
      <c r="P368" s="32" t="s">
        <v>101</v>
      </c>
      <c r="Q368" s="32" t="s">
        <v>95</v>
      </c>
      <c r="R368" s="32">
        <v>0</v>
      </c>
      <c r="S368" s="32">
        <v>1</v>
      </c>
      <c r="T368" s="32">
        <v>5</v>
      </c>
      <c r="U368" s="32">
        <v>1</v>
      </c>
      <c r="V368" s="32" t="s">
        <v>96</v>
      </c>
      <c r="W368" s="32" t="s">
        <v>404</v>
      </c>
      <c r="X368" s="32" t="s">
        <v>405</v>
      </c>
    </row>
    <row r="369" spans="1:24" x14ac:dyDescent="0.25">
      <c r="A369" s="32">
        <v>368</v>
      </c>
      <c r="B369" s="32" t="s">
        <v>1135</v>
      </c>
      <c r="C369" s="32" t="s">
        <v>31</v>
      </c>
      <c r="D369" s="32" t="s">
        <v>79</v>
      </c>
      <c r="E369" s="32" t="s">
        <v>32</v>
      </c>
      <c r="F369" s="32">
        <v>0</v>
      </c>
      <c r="G369" s="33">
        <v>164</v>
      </c>
      <c r="H369" s="33">
        <v>426464</v>
      </c>
      <c r="I369" s="34">
        <v>0</v>
      </c>
      <c r="J369" s="35">
        <v>46227</v>
      </c>
      <c r="K369" s="36">
        <v>46204</v>
      </c>
      <c r="L369" s="32" t="s">
        <v>80</v>
      </c>
      <c r="M369" s="32" t="s">
        <v>123</v>
      </c>
      <c r="N369" s="32" t="s">
        <v>1137</v>
      </c>
      <c r="O369" s="32" t="s">
        <v>113</v>
      </c>
      <c r="P369" s="32" t="s">
        <v>101</v>
      </c>
      <c r="Q369" s="32" t="s">
        <v>95</v>
      </c>
      <c r="R369" s="32">
        <v>0</v>
      </c>
      <c r="S369" s="32">
        <v>2</v>
      </c>
      <c r="T369" s="32">
        <v>5</v>
      </c>
      <c r="U369" s="32">
        <v>1</v>
      </c>
      <c r="V369" s="32" t="s">
        <v>86</v>
      </c>
      <c r="W369" s="32" t="s">
        <v>87</v>
      </c>
      <c r="X369" s="32" t="s">
        <v>322</v>
      </c>
    </row>
    <row r="370" spans="1:24" x14ac:dyDescent="0.25">
      <c r="A370" s="32">
        <v>369</v>
      </c>
      <c r="B370" s="32" t="s">
        <v>1135</v>
      </c>
      <c r="C370" s="32" t="s">
        <v>31</v>
      </c>
      <c r="D370" s="32" t="s">
        <v>79</v>
      </c>
      <c r="E370" s="32" t="s">
        <v>32</v>
      </c>
      <c r="F370" s="32">
        <v>0</v>
      </c>
      <c r="G370" s="33">
        <v>93</v>
      </c>
      <c r="H370" s="33">
        <v>426464</v>
      </c>
      <c r="I370" s="34">
        <v>0</v>
      </c>
      <c r="J370" s="35">
        <v>46251</v>
      </c>
      <c r="K370" s="36">
        <v>46235</v>
      </c>
      <c r="L370" s="32" t="s">
        <v>80</v>
      </c>
      <c r="M370" s="32" t="s">
        <v>81</v>
      </c>
      <c r="N370" s="32" t="s">
        <v>334</v>
      </c>
      <c r="O370" s="32" t="s">
        <v>113</v>
      </c>
      <c r="P370" s="32" t="s">
        <v>101</v>
      </c>
      <c r="Q370" s="32" t="s">
        <v>137</v>
      </c>
      <c r="R370" s="32">
        <v>0</v>
      </c>
      <c r="S370" s="32">
        <v>3</v>
      </c>
      <c r="T370" s="32">
        <v>5</v>
      </c>
      <c r="U370" s="32">
        <v>1</v>
      </c>
      <c r="V370" s="32" t="s">
        <v>86</v>
      </c>
      <c r="W370" s="32" t="s">
        <v>87</v>
      </c>
      <c r="X370" s="32" t="s">
        <v>322</v>
      </c>
    </row>
    <row r="371" spans="1:24" x14ac:dyDescent="0.25">
      <c r="A371" s="32">
        <v>370</v>
      </c>
      <c r="B371" s="32" t="s">
        <v>1135</v>
      </c>
      <c r="C371" s="32" t="s">
        <v>31</v>
      </c>
      <c r="D371" s="32" t="s">
        <v>79</v>
      </c>
      <c r="E371" s="32" t="s">
        <v>32</v>
      </c>
      <c r="F371" s="32">
        <v>0</v>
      </c>
      <c r="G371" s="33">
        <v>1000</v>
      </c>
      <c r="H371" s="33">
        <v>426464</v>
      </c>
      <c r="I371" s="34">
        <v>2E-3</v>
      </c>
      <c r="J371" s="35">
        <v>46260</v>
      </c>
      <c r="K371" s="36">
        <v>46235</v>
      </c>
      <c r="L371" s="32" t="s">
        <v>80</v>
      </c>
      <c r="M371" s="32" t="s">
        <v>81</v>
      </c>
      <c r="N371" s="32" t="s">
        <v>803</v>
      </c>
      <c r="O371" s="32" t="s">
        <v>113</v>
      </c>
      <c r="P371" s="32" t="s">
        <v>101</v>
      </c>
      <c r="Q371" s="32" t="s">
        <v>102</v>
      </c>
      <c r="R371" s="32">
        <v>0</v>
      </c>
      <c r="S371" s="32">
        <v>4</v>
      </c>
      <c r="T371" s="32">
        <v>5</v>
      </c>
      <c r="U371" s="32">
        <v>1</v>
      </c>
      <c r="V371" s="32" t="s">
        <v>96</v>
      </c>
      <c r="W371" s="32" t="s">
        <v>1138</v>
      </c>
      <c r="X371" s="32" t="s">
        <v>1139</v>
      </c>
    </row>
    <row r="372" spans="1:24" x14ac:dyDescent="0.25">
      <c r="A372" s="32">
        <v>371</v>
      </c>
      <c r="B372" s="32" t="s">
        <v>1135</v>
      </c>
      <c r="C372" s="32" t="s">
        <v>31</v>
      </c>
      <c r="D372" s="32" t="s">
        <v>79</v>
      </c>
      <c r="E372" s="32" t="s">
        <v>32</v>
      </c>
      <c r="F372" s="32">
        <v>0</v>
      </c>
      <c r="G372" s="33">
        <v>66</v>
      </c>
      <c r="H372" s="33">
        <v>426464</v>
      </c>
      <c r="I372" s="34">
        <v>0</v>
      </c>
      <c r="J372" s="35">
        <v>46292</v>
      </c>
      <c r="K372" s="36">
        <v>46266</v>
      </c>
      <c r="L372" s="32" t="s">
        <v>80</v>
      </c>
      <c r="M372" s="32" t="s">
        <v>151</v>
      </c>
      <c r="N372" s="32" t="s">
        <v>1140</v>
      </c>
      <c r="O372" s="32" t="s">
        <v>113</v>
      </c>
      <c r="P372" s="32" t="s">
        <v>101</v>
      </c>
      <c r="Q372" s="32" t="s">
        <v>137</v>
      </c>
      <c r="R372" s="32">
        <v>0</v>
      </c>
      <c r="S372" s="32">
        <v>5</v>
      </c>
      <c r="T372" s="32">
        <v>5</v>
      </c>
      <c r="U372" s="32">
        <v>1</v>
      </c>
      <c r="V372" s="32" t="s">
        <v>96</v>
      </c>
      <c r="W372" s="32" t="s">
        <v>1141</v>
      </c>
      <c r="X372" s="32" t="s">
        <v>1142</v>
      </c>
    </row>
    <row r="373" spans="1:24" x14ac:dyDescent="0.25">
      <c r="A373" s="32">
        <v>372</v>
      </c>
      <c r="B373" s="32" t="s">
        <v>1143</v>
      </c>
      <c r="C373" s="32" t="s">
        <v>33</v>
      </c>
      <c r="D373" s="32" t="s">
        <v>90</v>
      </c>
      <c r="E373" s="32" t="s">
        <v>32</v>
      </c>
      <c r="F373" s="32">
        <v>0</v>
      </c>
      <c r="G373" s="33">
        <v>55</v>
      </c>
      <c r="H373" s="33">
        <v>1840</v>
      </c>
      <c r="I373" s="34">
        <v>0.03</v>
      </c>
      <c r="J373" s="35">
        <v>46198</v>
      </c>
      <c r="K373" s="36">
        <v>46174</v>
      </c>
      <c r="L373" s="32" t="s">
        <v>80</v>
      </c>
      <c r="M373" s="32" t="s">
        <v>194</v>
      </c>
      <c r="N373" s="32" t="s">
        <v>263</v>
      </c>
      <c r="O373" s="32" t="s">
        <v>125</v>
      </c>
      <c r="P373" s="32" t="s">
        <v>101</v>
      </c>
      <c r="Q373" s="32" t="s">
        <v>137</v>
      </c>
      <c r="R373" s="32">
        <v>0</v>
      </c>
      <c r="S373" s="32">
        <v>1</v>
      </c>
      <c r="T373" s="32">
        <v>1</v>
      </c>
      <c r="U373" s="32">
        <v>0</v>
      </c>
      <c r="V373" s="32" t="s">
        <v>96</v>
      </c>
      <c r="W373" s="32" t="s">
        <v>207</v>
      </c>
      <c r="X373" s="32" t="s">
        <v>1144</v>
      </c>
    </row>
    <row r="374" spans="1:24" x14ac:dyDescent="0.25">
      <c r="A374" s="32">
        <v>373</v>
      </c>
      <c r="B374" s="32" t="s">
        <v>1145</v>
      </c>
      <c r="C374" s="32" t="s">
        <v>29</v>
      </c>
      <c r="D374" s="32" t="s">
        <v>79</v>
      </c>
      <c r="E374" s="32" t="s">
        <v>32</v>
      </c>
      <c r="F374" s="32">
        <v>0</v>
      </c>
      <c r="G374" s="33">
        <v>200</v>
      </c>
      <c r="H374" s="33">
        <v>12000</v>
      </c>
      <c r="I374" s="34">
        <v>1.7000000000000001E-2</v>
      </c>
      <c r="J374" s="35">
        <v>46119</v>
      </c>
      <c r="K374" s="36">
        <v>46113</v>
      </c>
      <c r="L374" s="32" t="s">
        <v>80</v>
      </c>
      <c r="M374" s="32" t="s">
        <v>144</v>
      </c>
      <c r="N374" s="32" t="s">
        <v>651</v>
      </c>
      <c r="O374" s="32" t="s">
        <v>83</v>
      </c>
      <c r="P374" s="32" t="s">
        <v>101</v>
      </c>
      <c r="Q374" s="32" t="s">
        <v>95</v>
      </c>
      <c r="R374" s="32">
        <v>0</v>
      </c>
      <c r="S374" s="32">
        <v>1</v>
      </c>
      <c r="T374" s="32">
        <v>1</v>
      </c>
      <c r="U374" s="32">
        <v>0</v>
      </c>
      <c r="V374" s="32" t="s">
        <v>96</v>
      </c>
      <c r="W374" s="32" t="s">
        <v>331</v>
      </c>
      <c r="X374" s="32" t="s">
        <v>1146</v>
      </c>
    </row>
    <row r="375" spans="1:24" x14ac:dyDescent="0.25">
      <c r="A375" s="32">
        <v>374</v>
      </c>
      <c r="B375" s="32" t="s">
        <v>1147</v>
      </c>
      <c r="C375" s="32" t="s">
        <v>29</v>
      </c>
      <c r="D375" s="32" t="s">
        <v>79</v>
      </c>
      <c r="E375" s="32" t="s">
        <v>30</v>
      </c>
      <c r="F375" s="32">
        <v>1</v>
      </c>
      <c r="G375" s="33">
        <v>200</v>
      </c>
      <c r="H375" s="33">
        <v>6659</v>
      </c>
      <c r="I375" s="34">
        <v>0.03</v>
      </c>
      <c r="J375" s="35">
        <v>46183</v>
      </c>
      <c r="K375" s="36">
        <v>46174</v>
      </c>
      <c r="L375" s="32" t="s">
        <v>80</v>
      </c>
      <c r="M375" s="32" t="s">
        <v>194</v>
      </c>
      <c r="N375" s="32" t="s">
        <v>963</v>
      </c>
      <c r="O375" s="32" t="s">
        <v>125</v>
      </c>
      <c r="P375" s="32" t="s">
        <v>101</v>
      </c>
      <c r="Q375" s="32" t="s">
        <v>95</v>
      </c>
      <c r="R375" s="32">
        <v>0</v>
      </c>
      <c r="S375" s="32">
        <v>1</v>
      </c>
      <c r="T375" s="32">
        <v>1</v>
      </c>
      <c r="U375" s="32">
        <v>0</v>
      </c>
      <c r="V375" s="32" t="s">
        <v>96</v>
      </c>
      <c r="W375" s="32" t="s">
        <v>1148</v>
      </c>
      <c r="X375" s="32" t="s">
        <v>1149</v>
      </c>
    </row>
    <row r="376" spans="1:24" x14ac:dyDescent="0.25">
      <c r="A376" s="32">
        <v>375</v>
      </c>
      <c r="B376" s="32" t="s">
        <v>1150</v>
      </c>
      <c r="C376" s="32" t="s">
        <v>2</v>
      </c>
      <c r="D376" s="32" t="s">
        <v>79</v>
      </c>
      <c r="E376" s="32" t="s">
        <v>34</v>
      </c>
      <c r="F376" s="32">
        <v>0</v>
      </c>
      <c r="G376" s="33">
        <v>14000</v>
      </c>
      <c r="H376" s="33">
        <v>14000</v>
      </c>
      <c r="I376" s="34">
        <v>1</v>
      </c>
      <c r="J376" s="35">
        <v>46144</v>
      </c>
      <c r="K376" s="36">
        <v>46143</v>
      </c>
      <c r="L376" s="32" t="s">
        <v>80</v>
      </c>
      <c r="M376" s="32" t="s">
        <v>91</v>
      </c>
      <c r="N376" s="32" t="s">
        <v>1151</v>
      </c>
      <c r="O376" s="32" t="s">
        <v>83</v>
      </c>
      <c r="P376" s="32" t="s">
        <v>297</v>
      </c>
      <c r="Q376" s="32" t="s">
        <v>114</v>
      </c>
      <c r="R376" s="32">
        <v>1</v>
      </c>
      <c r="S376" s="32">
        <v>1</v>
      </c>
      <c r="T376" s="32">
        <v>1</v>
      </c>
      <c r="U376" s="32">
        <v>0</v>
      </c>
      <c r="V376" s="32" t="s">
        <v>96</v>
      </c>
      <c r="W376" s="32" t="s">
        <v>276</v>
      </c>
      <c r="X376" s="32" t="s">
        <v>1152</v>
      </c>
    </row>
    <row r="377" spans="1:24" x14ac:dyDescent="0.25">
      <c r="A377" s="32">
        <v>376</v>
      </c>
      <c r="B377" s="32" t="s">
        <v>1153</v>
      </c>
      <c r="C377" s="32" t="s">
        <v>33</v>
      </c>
      <c r="D377" s="32" t="s">
        <v>90</v>
      </c>
      <c r="E377" s="32" t="s">
        <v>30</v>
      </c>
      <c r="F377" s="32">
        <v>1</v>
      </c>
      <c r="G377" s="33">
        <v>260</v>
      </c>
      <c r="H377" s="33">
        <v>1362</v>
      </c>
      <c r="I377" s="34">
        <v>0.191</v>
      </c>
      <c r="J377" s="35">
        <v>46218</v>
      </c>
      <c r="K377" s="36">
        <v>46204</v>
      </c>
      <c r="L377" s="32" t="s">
        <v>80</v>
      </c>
      <c r="M377" s="32" t="s">
        <v>123</v>
      </c>
      <c r="N377" s="32" t="s">
        <v>1154</v>
      </c>
      <c r="O377" s="32" t="s">
        <v>125</v>
      </c>
      <c r="P377" s="32" t="s">
        <v>119</v>
      </c>
      <c r="Q377" s="32" t="s">
        <v>95</v>
      </c>
      <c r="R377" s="32">
        <v>0</v>
      </c>
      <c r="S377" s="32">
        <v>1</v>
      </c>
      <c r="T377" s="32">
        <v>1</v>
      </c>
      <c r="U377" s="32">
        <v>0</v>
      </c>
      <c r="V377" s="32" t="s">
        <v>211</v>
      </c>
      <c r="W377" s="32" t="s">
        <v>212</v>
      </c>
      <c r="X377" s="32" t="s">
        <v>1155</v>
      </c>
    </row>
    <row r="378" spans="1:24" x14ac:dyDescent="0.25">
      <c r="A378" s="32">
        <v>377</v>
      </c>
      <c r="B378" s="32" t="s">
        <v>1156</v>
      </c>
      <c r="C378" s="32" t="s">
        <v>15</v>
      </c>
      <c r="D378" s="32" t="s">
        <v>79</v>
      </c>
      <c r="E378" s="32" t="s">
        <v>30</v>
      </c>
      <c r="F378" s="32">
        <v>1</v>
      </c>
      <c r="G378" s="33">
        <v>7800</v>
      </c>
      <c r="H378" s="33">
        <v>83000</v>
      </c>
      <c r="I378" s="34">
        <v>9.4E-2</v>
      </c>
      <c r="J378" s="35">
        <v>46161</v>
      </c>
      <c r="K378" s="36">
        <v>46143</v>
      </c>
      <c r="L378" s="32" t="s">
        <v>80</v>
      </c>
      <c r="M378" s="32" t="s">
        <v>91</v>
      </c>
      <c r="N378" s="32" t="s">
        <v>1027</v>
      </c>
      <c r="O378" s="32" t="s">
        <v>160</v>
      </c>
      <c r="P378" s="32" t="s">
        <v>84</v>
      </c>
      <c r="Q378" s="32" t="s">
        <v>114</v>
      </c>
      <c r="R378" s="32">
        <v>0</v>
      </c>
      <c r="S378" s="32">
        <v>1</v>
      </c>
      <c r="T378" s="32">
        <v>1</v>
      </c>
      <c r="U378" s="32">
        <v>0</v>
      </c>
      <c r="V378" s="32" t="s">
        <v>96</v>
      </c>
      <c r="W378" s="32" t="s">
        <v>422</v>
      </c>
      <c r="X378" s="32" t="s">
        <v>1157</v>
      </c>
    </row>
    <row r="379" spans="1:24" x14ac:dyDescent="0.25">
      <c r="A379" s="32">
        <v>378</v>
      </c>
      <c r="B379" s="32" t="s">
        <v>1158</v>
      </c>
      <c r="C379" s="32" t="s">
        <v>17</v>
      </c>
      <c r="D379" s="32" t="s">
        <v>79</v>
      </c>
      <c r="E379" s="32" t="s">
        <v>32</v>
      </c>
      <c r="F379" s="32">
        <v>0</v>
      </c>
      <c r="G379" s="33">
        <v>95</v>
      </c>
      <c r="H379" s="33">
        <v>15278</v>
      </c>
      <c r="I379" s="34">
        <v>6.0000000000000001E-3</v>
      </c>
      <c r="J379" s="35">
        <v>46262</v>
      </c>
      <c r="K379" s="36">
        <v>46235</v>
      </c>
      <c r="L379" s="32" t="s">
        <v>80</v>
      </c>
      <c r="M379" s="32" t="s">
        <v>81</v>
      </c>
      <c r="N379" s="32" t="s">
        <v>148</v>
      </c>
      <c r="O379" s="32" t="s">
        <v>83</v>
      </c>
      <c r="P379" s="32" t="s">
        <v>101</v>
      </c>
      <c r="Q379" s="32" t="s">
        <v>137</v>
      </c>
      <c r="R379" s="32">
        <v>0</v>
      </c>
      <c r="S379" s="32">
        <v>1</v>
      </c>
      <c r="T379" s="32">
        <v>1</v>
      </c>
      <c r="U379" s="32">
        <v>0</v>
      </c>
      <c r="V379" s="32" t="s">
        <v>86</v>
      </c>
      <c r="W379" s="32" t="s">
        <v>87</v>
      </c>
      <c r="X379" s="32" t="s">
        <v>88</v>
      </c>
    </row>
    <row r="380" spans="1:24" x14ac:dyDescent="0.25">
      <c r="A380" s="32">
        <v>379</v>
      </c>
      <c r="B380" s="32" t="s">
        <v>1159</v>
      </c>
      <c r="C380" s="32" t="s">
        <v>20</v>
      </c>
      <c r="D380" s="32" t="s">
        <v>79</v>
      </c>
      <c r="E380" s="32" t="s">
        <v>34</v>
      </c>
      <c r="F380" s="32">
        <v>0</v>
      </c>
      <c r="G380" s="33">
        <v>300</v>
      </c>
      <c r="H380" s="33">
        <v>60000</v>
      </c>
      <c r="I380" s="34">
        <v>5.0000000000000001E-3</v>
      </c>
      <c r="J380" s="35">
        <v>46079</v>
      </c>
      <c r="K380" s="36">
        <v>46054</v>
      </c>
      <c r="L380" s="32" t="s">
        <v>80</v>
      </c>
      <c r="M380" s="32" t="s">
        <v>187</v>
      </c>
      <c r="N380" s="32" t="s">
        <v>275</v>
      </c>
      <c r="O380" s="32" t="s">
        <v>160</v>
      </c>
      <c r="P380" s="32" t="s">
        <v>101</v>
      </c>
      <c r="Q380" s="32" t="s">
        <v>95</v>
      </c>
      <c r="R380" s="32">
        <v>0</v>
      </c>
      <c r="S380" s="32">
        <v>1</v>
      </c>
      <c r="T380" s="32">
        <v>1</v>
      </c>
      <c r="U380" s="32">
        <v>0</v>
      </c>
      <c r="V380" s="32" t="s">
        <v>96</v>
      </c>
      <c r="W380" s="32" t="s">
        <v>1160</v>
      </c>
      <c r="X380" s="32" t="s">
        <v>1161</v>
      </c>
    </row>
    <row r="381" spans="1:24" x14ac:dyDescent="0.25">
      <c r="A381" s="32">
        <v>380</v>
      </c>
      <c r="B381" s="32" t="s">
        <v>1162</v>
      </c>
      <c r="C381" s="32" t="s">
        <v>31</v>
      </c>
      <c r="D381" s="32" t="s">
        <v>79</v>
      </c>
      <c r="E381" s="32" t="s">
        <v>32</v>
      </c>
      <c r="F381" s="32">
        <v>0</v>
      </c>
      <c r="G381" s="33">
        <v>109</v>
      </c>
      <c r="H381" s="33">
        <v>12000</v>
      </c>
      <c r="I381" s="34">
        <v>8.9999999999999993E-3</v>
      </c>
      <c r="J381" s="35">
        <v>46239</v>
      </c>
      <c r="K381" s="36">
        <v>46235</v>
      </c>
      <c r="L381" s="32" t="s">
        <v>80</v>
      </c>
      <c r="M381" s="32" t="s">
        <v>81</v>
      </c>
      <c r="N381" s="32" t="s">
        <v>529</v>
      </c>
      <c r="O381" s="32" t="s">
        <v>83</v>
      </c>
      <c r="P381" s="32" t="s">
        <v>101</v>
      </c>
      <c r="Q381" s="32" t="s">
        <v>95</v>
      </c>
      <c r="R381" s="32">
        <v>0</v>
      </c>
      <c r="S381" s="32">
        <v>1</v>
      </c>
      <c r="T381" s="32">
        <v>1</v>
      </c>
      <c r="U381" s="32">
        <v>0</v>
      </c>
      <c r="V381" s="32" t="s">
        <v>96</v>
      </c>
      <c r="W381" s="32" t="s">
        <v>264</v>
      </c>
      <c r="X381" s="32" t="s">
        <v>1163</v>
      </c>
    </row>
    <row r="382" spans="1:24" x14ac:dyDescent="0.25">
      <c r="A382" s="32">
        <v>381</v>
      </c>
      <c r="B382" s="32" t="s">
        <v>1164</v>
      </c>
      <c r="C382" s="32" t="s">
        <v>29</v>
      </c>
      <c r="D382" s="32" t="s">
        <v>79</v>
      </c>
      <c r="E382" s="32" t="s">
        <v>32</v>
      </c>
      <c r="F382" s="32">
        <v>0</v>
      </c>
      <c r="G382" s="33">
        <v>65</v>
      </c>
      <c r="H382" s="33">
        <v>495</v>
      </c>
      <c r="I382" s="34">
        <v>0.13100000000000001</v>
      </c>
      <c r="J382" s="35">
        <v>46176</v>
      </c>
      <c r="K382" s="36">
        <v>46174</v>
      </c>
      <c r="L382" s="32" t="s">
        <v>80</v>
      </c>
      <c r="M382" s="32" t="s">
        <v>194</v>
      </c>
      <c r="N382" s="32" t="s">
        <v>1122</v>
      </c>
      <c r="O382" s="32" t="s">
        <v>93</v>
      </c>
      <c r="P382" s="32" t="s">
        <v>119</v>
      </c>
      <c r="Q382" s="32" t="s">
        <v>137</v>
      </c>
      <c r="R382" s="32">
        <v>0</v>
      </c>
      <c r="S382" s="32">
        <v>1</v>
      </c>
      <c r="T382" s="32">
        <v>1</v>
      </c>
      <c r="U382" s="32">
        <v>0</v>
      </c>
      <c r="V382" s="32" t="s">
        <v>96</v>
      </c>
      <c r="W382" s="32" t="s">
        <v>1165</v>
      </c>
      <c r="X382" s="32" t="s">
        <v>1166</v>
      </c>
    </row>
    <row r="383" spans="1:24" x14ac:dyDescent="0.25">
      <c r="A383" s="32">
        <v>382</v>
      </c>
      <c r="B383" s="32" t="s">
        <v>1167</v>
      </c>
      <c r="C383" s="32" t="s">
        <v>4</v>
      </c>
      <c r="D383" s="32" t="s">
        <v>79</v>
      </c>
      <c r="E383" s="32" t="s">
        <v>32</v>
      </c>
      <c r="F383" s="32">
        <v>0</v>
      </c>
      <c r="G383" s="33">
        <v>61</v>
      </c>
      <c r="H383" s="33">
        <v>16000</v>
      </c>
      <c r="I383" s="34">
        <v>4.0000000000000001E-3</v>
      </c>
      <c r="J383" s="35">
        <v>46153</v>
      </c>
      <c r="K383" s="36">
        <v>46143</v>
      </c>
      <c r="L383" s="32" t="s">
        <v>80</v>
      </c>
      <c r="M383" s="32" t="s">
        <v>91</v>
      </c>
      <c r="N383" s="32" t="s">
        <v>622</v>
      </c>
      <c r="O383" s="32" t="s">
        <v>83</v>
      </c>
      <c r="P383" s="32" t="s">
        <v>101</v>
      </c>
      <c r="Q383" s="32" t="s">
        <v>137</v>
      </c>
      <c r="R383" s="32">
        <v>0</v>
      </c>
      <c r="S383" s="32">
        <v>1</v>
      </c>
      <c r="T383" s="32">
        <v>3</v>
      </c>
      <c r="U383" s="32">
        <v>1</v>
      </c>
      <c r="V383" s="32" t="s">
        <v>96</v>
      </c>
      <c r="W383" s="32" t="s">
        <v>149</v>
      </c>
      <c r="X383" s="32" t="s">
        <v>1168</v>
      </c>
    </row>
    <row r="384" spans="1:24" x14ac:dyDescent="0.25">
      <c r="A384" s="32">
        <v>383</v>
      </c>
      <c r="B384" s="32" t="s">
        <v>1167</v>
      </c>
      <c r="C384" s="32" t="s">
        <v>4</v>
      </c>
      <c r="D384" s="32" t="s">
        <v>79</v>
      </c>
      <c r="E384" s="32" t="s">
        <v>32</v>
      </c>
      <c r="F384" s="32">
        <v>0</v>
      </c>
      <c r="G384" s="33">
        <v>300</v>
      </c>
      <c r="H384" s="33">
        <v>16000</v>
      </c>
      <c r="I384" s="34">
        <v>1.9E-2</v>
      </c>
      <c r="J384" s="35">
        <v>46157</v>
      </c>
      <c r="K384" s="36">
        <v>46143</v>
      </c>
      <c r="L384" s="32" t="s">
        <v>80</v>
      </c>
      <c r="M384" s="32" t="s">
        <v>91</v>
      </c>
      <c r="N384" s="32" t="s">
        <v>202</v>
      </c>
      <c r="O384" s="32" t="s">
        <v>83</v>
      </c>
      <c r="P384" s="32" t="s">
        <v>101</v>
      </c>
      <c r="Q384" s="32" t="s">
        <v>95</v>
      </c>
      <c r="R384" s="32">
        <v>0</v>
      </c>
      <c r="S384" s="32">
        <v>2</v>
      </c>
      <c r="T384" s="32">
        <v>3</v>
      </c>
      <c r="U384" s="32">
        <v>1</v>
      </c>
      <c r="V384" s="32" t="s">
        <v>96</v>
      </c>
      <c r="W384" s="32" t="s">
        <v>142</v>
      </c>
      <c r="X384" s="32" t="s">
        <v>1169</v>
      </c>
    </row>
    <row r="385" spans="1:24" x14ac:dyDescent="0.25">
      <c r="A385" s="32">
        <v>384</v>
      </c>
      <c r="B385" s="32" t="s">
        <v>1167</v>
      </c>
      <c r="C385" s="32" t="s">
        <v>4</v>
      </c>
      <c r="D385" s="32" t="s">
        <v>79</v>
      </c>
      <c r="E385" s="32" t="s">
        <v>32</v>
      </c>
      <c r="F385" s="32">
        <v>0</v>
      </c>
      <c r="G385" s="33">
        <v>224</v>
      </c>
      <c r="H385" s="33">
        <v>16000</v>
      </c>
      <c r="I385" s="34">
        <v>1.39999999999999E-2</v>
      </c>
      <c r="J385" s="35">
        <v>46254</v>
      </c>
      <c r="K385" s="36">
        <v>46235</v>
      </c>
      <c r="L385" s="32" t="s">
        <v>80</v>
      </c>
      <c r="M385" s="32" t="s">
        <v>81</v>
      </c>
      <c r="N385" s="32" t="s">
        <v>746</v>
      </c>
      <c r="O385" s="32" t="s">
        <v>83</v>
      </c>
      <c r="P385" s="32" t="s">
        <v>101</v>
      </c>
      <c r="Q385" s="32" t="s">
        <v>95</v>
      </c>
      <c r="R385" s="32">
        <v>0</v>
      </c>
      <c r="S385" s="32">
        <v>3</v>
      </c>
      <c r="T385" s="32">
        <v>3</v>
      </c>
      <c r="U385" s="32">
        <v>1</v>
      </c>
      <c r="V385" s="32" t="s">
        <v>96</v>
      </c>
      <c r="W385" s="32" t="s">
        <v>1170</v>
      </c>
      <c r="X385" s="32" t="s">
        <v>1171</v>
      </c>
    </row>
    <row r="386" spans="1:24" x14ac:dyDescent="0.25">
      <c r="A386" s="32">
        <v>385</v>
      </c>
      <c r="B386" s="32" t="s">
        <v>1172</v>
      </c>
      <c r="C386" s="32" t="s">
        <v>15</v>
      </c>
      <c r="D386" s="32" t="s">
        <v>79</v>
      </c>
      <c r="E386" s="32" t="s">
        <v>30</v>
      </c>
      <c r="F386" s="32">
        <v>1</v>
      </c>
      <c r="G386" s="33">
        <v>130</v>
      </c>
      <c r="H386" s="33">
        <v>4000</v>
      </c>
      <c r="I386" s="34">
        <v>3.2000000000000001E-2</v>
      </c>
      <c r="J386" s="35">
        <v>46211</v>
      </c>
      <c r="K386" s="36">
        <v>46204</v>
      </c>
      <c r="L386" s="32" t="s">
        <v>80</v>
      </c>
      <c r="M386" s="32" t="s">
        <v>123</v>
      </c>
      <c r="N386" s="32" t="s">
        <v>817</v>
      </c>
      <c r="O386" s="32" t="s">
        <v>125</v>
      </c>
      <c r="P386" s="32" t="s">
        <v>101</v>
      </c>
      <c r="Q386" s="32" t="s">
        <v>95</v>
      </c>
      <c r="R386" s="32">
        <v>0</v>
      </c>
      <c r="S386" s="32">
        <v>1</v>
      </c>
      <c r="T386" s="32">
        <v>1</v>
      </c>
      <c r="U386" s="32">
        <v>0</v>
      </c>
      <c r="V386" s="32" t="s">
        <v>96</v>
      </c>
      <c r="W386" s="32" t="s">
        <v>583</v>
      </c>
      <c r="X386" s="32" t="s">
        <v>1173</v>
      </c>
    </row>
    <row r="387" spans="1:24" x14ac:dyDescent="0.25">
      <c r="A387" s="32">
        <v>386</v>
      </c>
      <c r="B387" s="32" t="s">
        <v>1174</v>
      </c>
      <c r="C387" s="32" t="s">
        <v>20</v>
      </c>
      <c r="D387" s="32" t="s">
        <v>79</v>
      </c>
      <c r="E387" s="32" t="s">
        <v>32</v>
      </c>
      <c r="F387" s="32">
        <v>0</v>
      </c>
      <c r="G387" s="33">
        <v>350</v>
      </c>
      <c r="H387" s="33">
        <v>25000</v>
      </c>
      <c r="I387" s="34">
        <v>1.39999999999999E-2</v>
      </c>
      <c r="J387" s="35">
        <v>46293</v>
      </c>
      <c r="K387" s="36">
        <v>46266</v>
      </c>
      <c r="L387" s="32" t="s">
        <v>80</v>
      </c>
      <c r="M387" s="32" t="s">
        <v>151</v>
      </c>
      <c r="N387" s="32" t="s">
        <v>221</v>
      </c>
      <c r="O387" s="32" t="s">
        <v>83</v>
      </c>
      <c r="P387" s="32" t="s">
        <v>101</v>
      </c>
      <c r="Q387" s="32" t="s">
        <v>95</v>
      </c>
      <c r="R387" s="32">
        <v>0</v>
      </c>
      <c r="S387" s="32">
        <v>1</v>
      </c>
      <c r="T387" s="32">
        <v>1</v>
      </c>
      <c r="U387" s="32">
        <v>0</v>
      </c>
      <c r="V387" s="32" t="s">
        <v>96</v>
      </c>
      <c r="W387" s="32" t="s">
        <v>315</v>
      </c>
      <c r="X387" s="32" t="s">
        <v>1175</v>
      </c>
    </row>
    <row r="388" spans="1:24" x14ac:dyDescent="0.25">
      <c r="A388" s="32">
        <v>387</v>
      </c>
      <c r="B388" s="32" t="s">
        <v>1176</v>
      </c>
      <c r="C388" s="32" t="s">
        <v>20</v>
      </c>
      <c r="D388" s="32" t="s">
        <v>79</v>
      </c>
      <c r="E388" s="32" t="s">
        <v>32</v>
      </c>
      <c r="F388" s="32">
        <v>0</v>
      </c>
      <c r="G388" s="33">
        <v>200</v>
      </c>
      <c r="H388" s="33">
        <v>360</v>
      </c>
      <c r="I388" s="34">
        <v>0.55600000000000005</v>
      </c>
      <c r="J388" s="35">
        <v>46269</v>
      </c>
      <c r="K388" s="36">
        <v>46266</v>
      </c>
      <c r="L388" s="32" t="s">
        <v>80</v>
      </c>
      <c r="M388" s="32" t="s">
        <v>151</v>
      </c>
      <c r="N388" s="32" t="s">
        <v>495</v>
      </c>
      <c r="O388" s="32" t="s">
        <v>93</v>
      </c>
      <c r="P388" s="32" t="s">
        <v>94</v>
      </c>
      <c r="Q388" s="32" t="s">
        <v>95</v>
      </c>
      <c r="R388" s="32">
        <v>0</v>
      </c>
      <c r="S388" s="32">
        <v>1</v>
      </c>
      <c r="T388" s="32">
        <v>1</v>
      </c>
      <c r="U388" s="32">
        <v>0</v>
      </c>
      <c r="V388" s="32" t="s">
        <v>96</v>
      </c>
      <c r="W388" s="32" t="s">
        <v>1177</v>
      </c>
      <c r="X388" s="32" t="s">
        <v>1178</v>
      </c>
    </row>
    <row r="389" spans="1:24" x14ac:dyDescent="0.25">
      <c r="A389" s="32">
        <v>388</v>
      </c>
      <c r="B389" s="32" t="s">
        <v>1179</v>
      </c>
      <c r="C389" s="32" t="s">
        <v>4</v>
      </c>
      <c r="D389" s="32" t="s">
        <v>79</v>
      </c>
      <c r="E389" s="32" t="s">
        <v>32</v>
      </c>
      <c r="F389" s="32">
        <v>0</v>
      </c>
      <c r="G389" s="33">
        <v>220</v>
      </c>
      <c r="H389" s="33">
        <v>787</v>
      </c>
      <c r="I389" s="34">
        <v>0.28000000000000003</v>
      </c>
      <c r="J389" s="35">
        <v>46253</v>
      </c>
      <c r="K389" s="36">
        <v>46235</v>
      </c>
      <c r="L389" s="32" t="s">
        <v>80</v>
      </c>
      <c r="M389" s="32" t="s">
        <v>81</v>
      </c>
      <c r="N389" s="32" t="s">
        <v>685</v>
      </c>
      <c r="O389" s="32" t="s">
        <v>93</v>
      </c>
      <c r="P389" s="32" t="s">
        <v>94</v>
      </c>
      <c r="Q389" s="32" t="s">
        <v>95</v>
      </c>
      <c r="R389" s="32">
        <v>0</v>
      </c>
      <c r="S389" s="32">
        <v>1</v>
      </c>
      <c r="T389" s="32">
        <v>1</v>
      </c>
      <c r="U389" s="32">
        <v>0</v>
      </c>
      <c r="V389" s="32" t="s">
        <v>96</v>
      </c>
      <c r="W389" s="32" t="s">
        <v>1160</v>
      </c>
      <c r="X389" s="32" t="s">
        <v>1180</v>
      </c>
    </row>
    <row r="390" spans="1:24" x14ac:dyDescent="0.25">
      <c r="A390" s="32">
        <v>389</v>
      </c>
      <c r="B390" s="32" t="s">
        <v>1181</v>
      </c>
      <c r="C390" s="32" t="s">
        <v>29</v>
      </c>
      <c r="D390" s="32" t="s">
        <v>79</v>
      </c>
      <c r="E390" s="32" t="s">
        <v>34</v>
      </c>
      <c r="F390" s="32">
        <v>0</v>
      </c>
      <c r="G390" s="33">
        <v>71</v>
      </c>
      <c r="H390" s="33">
        <v>1500</v>
      </c>
      <c r="I390" s="34">
        <v>4.7E-2</v>
      </c>
      <c r="J390" s="35">
        <v>46148</v>
      </c>
      <c r="K390" s="36">
        <v>46143</v>
      </c>
      <c r="L390" s="32" t="s">
        <v>80</v>
      </c>
      <c r="M390" s="32" t="s">
        <v>91</v>
      </c>
      <c r="N390" s="32" t="s">
        <v>183</v>
      </c>
      <c r="O390" s="32" t="s">
        <v>125</v>
      </c>
      <c r="P390" s="32" t="s">
        <v>101</v>
      </c>
      <c r="Q390" s="32" t="s">
        <v>137</v>
      </c>
      <c r="R390" s="32">
        <v>0</v>
      </c>
      <c r="S390" s="32">
        <v>1</v>
      </c>
      <c r="T390" s="32">
        <v>1</v>
      </c>
      <c r="U390" s="32">
        <v>0</v>
      </c>
      <c r="V390" s="32" t="s">
        <v>86</v>
      </c>
      <c r="W390" s="32" t="s">
        <v>591</v>
      </c>
      <c r="X390" s="32" t="s">
        <v>1182</v>
      </c>
    </row>
    <row r="391" spans="1:24" x14ac:dyDescent="0.25">
      <c r="A391" s="32">
        <v>390</v>
      </c>
      <c r="B391" s="32" t="s">
        <v>1183</v>
      </c>
      <c r="C391" s="32" t="s">
        <v>15</v>
      </c>
      <c r="D391" s="32" t="s">
        <v>79</v>
      </c>
      <c r="E391" s="32" t="s">
        <v>32</v>
      </c>
      <c r="F391" s="32">
        <v>0</v>
      </c>
      <c r="G391" s="33">
        <v>75</v>
      </c>
      <c r="H391" s="33">
        <v>123000</v>
      </c>
      <c r="I391" s="34">
        <v>1E-3</v>
      </c>
      <c r="J391" s="35">
        <v>46297</v>
      </c>
      <c r="K391" s="36">
        <v>46296</v>
      </c>
      <c r="L391" s="32" t="s">
        <v>80</v>
      </c>
      <c r="M391" s="32" t="s">
        <v>178</v>
      </c>
      <c r="N391" s="32" t="s">
        <v>198</v>
      </c>
      <c r="O391" s="32" t="s">
        <v>113</v>
      </c>
      <c r="P391" s="32" t="s">
        <v>101</v>
      </c>
      <c r="Q391" s="32" t="s">
        <v>137</v>
      </c>
      <c r="R391" s="32">
        <v>0</v>
      </c>
      <c r="S391" s="32">
        <v>1</v>
      </c>
      <c r="T391" s="32">
        <v>1</v>
      </c>
      <c r="U391" s="32">
        <v>0</v>
      </c>
      <c r="V391" s="32" t="s">
        <v>96</v>
      </c>
      <c r="W391" s="32" t="s">
        <v>462</v>
      </c>
      <c r="X391" s="32" t="s">
        <v>1184</v>
      </c>
    </row>
    <row r="392" spans="1:24" x14ac:dyDescent="0.25">
      <c r="A392" s="32">
        <v>391</v>
      </c>
      <c r="B392" s="32" t="s">
        <v>1185</v>
      </c>
      <c r="C392" s="32" t="s">
        <v>35</v>
      </c>
      <c r="D392" s="32" t="s">
        <v>90</v>
      </c>
      <c r="E392" s="32" t="s">
        <v>32</v>
      </c>
      <c r="F392" s="32">
        <v>0</v>
      </c>
      <c r="G392" s="33">
        <v>450</v>
      </c>
      <c r="H392" s="33">
        <v>2900</v>
      </c>
      <c r="I392" s="34">
        <v>0.155</v>
      </c>
      <c r="J392" s="35">
        <v>46286</v>
      </c>
      <c r="K392" s="36">
        <v>46266</v>
      </c>
      <c r="L392" s="32" t="s">
        <v>80</v>
      </c>
      <c r="M392" s="32" t="s">
        <v>151</v>
      </c>
      <c r="N392" s="32" t="s">
        <v>761</v>
      </c>
      <c r="O392" s="32" t="s">
        <v>125</v>
      </c>
      <c r="P392" s="32" t="s">
        <v>119</v>
      </c>
      <c r="Q392" s="32" t="s">
        <v>95</v>
      </c>
      <c r="R392" s="32">
        <v>0</v>
      </c>
      <c r="S392" s="32">
        <v>1</v>
      </c>
      <c r="T392" s="32">
        <v>1</v>
      </c>
      <c r="U392" s="32">
        <v>0</v>
      </c>
      <c r="V392" s="32" t="s">
        <v>96</v>
      </c>
      <c r="W392" s="32" t="s">
        <v>268</v>
      </c>
      <c r="X392" s="32" t="s">
        <v>1186</v>
      </c>
    </row>
    <row r="393" spans="1:24" x14ac:dyDescent="0.25">
      <c r="A393" s="32">
        <v>392</v>
      </c>
      <c r="B393" s="32" t="s">
        <v>1187</v>
      </c>
      <c r="C393" s="32" t="s">
        <v>33</v>
      </c>
      <c r="D393" s="32" t="s">
        <v>90</v>
      </c>
      <c r="E393" s="32" t="s">
        <v>36</v>
      </c>
      <c r="F393" s="32">
        <v>0</v>
      </c>
      <c r="G393" s="33">
        <v>75</v>
      </c>
      <c r="H393" s="33">
        <v>172</v>
      </c>
      <c r="I393" s="34">
        <v>0.436</v>
      </c>
      <c r="J393" s="35">
        <v>46245</v>
      </c>
      <c r="K393" s="36">
        <v>46235</v>
      </c>
      <c r="L393" s="32" t="s">
        <v>80</v>
      </c>
      <c r="M393" s="32" t="s">
        <v>81</v>
      </c>
      <c r="N393" s="32" t="s">
        <v>321</v>
      </c>
      <c r="O393" s="32" t="s">
        <v>93</v>
      </c>
      <c r="P393" s="32" t="s">
        <v>94</v>
      </c>
      <c r="Q393" s="32" t="s">
        <v>137</v>
      </c>
      <c r="R393" s="32">
        <v>0</v>
      </c>
      <c r="S393" s="32">
        <v>1</v>
      </c>
      <c r="T393" s="32">
        <v>1</v>
      </c>
      <c r="U393" s="32">
        <v>0</v>
      </c>
      <c r="V393" s="32" t="s">
        <v>96</v>
      </c>
      <c r="W393" s="32" t="s">
        <v>1188</v>
      </c>
      <c r="X393" s="32" t="s">
        <v>1189</v>
      </c>
    </row>
    <row r="394" spans="1:24" x14ac:dyDescent="0.25">
      <c r="A394" s="32">
        <v>393</v>
      </c>
      <c r="B394" s="32" t="s">
        <v>1190</v>
      </c>
      <c r="C394" s="32" t="s">
        <v>33</v>
      </c>
      <c r="D394" s="32" t="s">
        <v>90</v>
      </c>
      <c r="E394" s="32" t="s">
        <v>32</v>
      </c>
      <c r="F394" s="32">
        <v>0</v>
      </c>
      <c r="G394" s="33">
        <v>60</v>
      </c>
      <c r="H394" s="33">
        <v>700</v>
      </c>
      <c r="I394" s="34">
        <v>8.5999999999999993E-2</v>
      </c>
      <c r="J394" s="35">
        <v>46086</v>
      </c>
      <c r="K394" s="36">
        <v>46082</v>
      </c>
      <c r="L394" s="32" t="s">
        <v>80</v>
      </c>
      <c r="M394" s="32" t="s">
        <v>106</v>
      </c>
      <c r="N394" s="32" t="s">
        <v>136</v>
      </c>
      <c r="O394" s="32" t="s">
        <v>93</v>
      </c>
      <c r="P394" s="32" t="s">
        <v>84</v>
      </c>
      <c r="Q394" s="32" t="s">
        <v>137</v>
      </c>
      <c r="R394" s="32">
        <v>0</v>
      </c>
      <c r="S394" s="32">
        <v>1</v>
      </c>
      <c r="T394" s="32">
        <v>1</v>
      </c>
      <c r="U394" s="32">
        <v>0</v>
      </c>
      <c r="V394" s="32" t="s">
        <v>96</v>
      </c>
      <c r="W394" s="32" t="s">
        <v>431</v>
      </c>
      <c r="X394" s="32" t="s">
        <v>432</v>
      </c>
    </row>
    <row r="395" spans="1:24" x14ac:dyDescent="0.25">
      <c r="A395" s="32">
        <v>394</v>
      </c>
      <c r="B395" s="32" t="s">
        <v>1191</v>
      </c>
      <c r="C395" s="32" t="s">
        <v>15</v>
      </c>
      <c r="D395" s="32" t="s">
        <v>79</v>
      </c>
      <c r="E395" s="32" t="s">
        <v>36</v>
      </c>
      <c r="F395" s="32">
        <v>0</v>
      </c>
      <c r="G395" s="33">
        <v>600</v>
      </c>
      <c r="H395" s="33">
        <v>12313</v>
      </c>
      <c r="I395" s="34">
        <v>4.9000000000000002E-2</v>
      </c>
      <c r="J395" s="35">
        <v>46266</v>
      </c>
      <c r="K395" s="36">
        <v>46266</v>
      </c>
      <c r="L395" s="32" t="s">
        <v>80</v>
      </c>
      <c r="M395" s="32" t="s">
        <v>151</v>
      </c>
      <c r="N395" s="32" t="s">
        <v>373</v>
      </c>
      <c r="O395" s="32" t="s">
        <v>83</v>
      </c>
      <c r="P395" s="32" t="s">
        <v>101</v>
      </c>
      <c r="Q395" s="32" t="s">
        <v>85</v>
      </c>
      <c r="R395" s="32">
        <v>0</v>
      </c>
      <c r="S395" s="32">
        <v>1</v>
      </c>
      <c r="T395" s="32">
        <v>1</v>
      </c>
      <c r="U395" s="32">
        <v>0</v>
      </c>
      <c r="V395" s="32" t="s">
        <v>96</v>
      </c>
      <c r="W395" s="32" t="s">
        <v>1192</v>
      </c>
      <c r="X395" s="32" t="s">
        <v>1193</v>
      </c>
    </row>
    <row r="396" spans="1:24" x14ac:dyDescent="0.25">
      <c r="A396" s="32">
        <v>395</v>
      </c>
      <c r="B396" s="32" t="s">
        <v>1194</v>
      </c>
      <c r="C396" s="32" t="s">
        <v>33</v>
      </c>
      <c r="D396" s="32" t="s">
        <v>90</v>
      </c>
      <c r="E396" s="32" t="s">
        <v>37</v>
      </c>
      <c r="F396" s="32">
        <v>0</v>
      </c>
      <c r="G396" s="33">
        <v>128</v>
      </c>
      <c r="H396" s="33">
        <v>28000</v>
      </c>
      <c r="I396" s="34">
        <v>5.0000000000000001E-3</v>
      </c>
      <c r="J396" s="35">
        <v>46265</v>
      </c>
      <c r="K396" s="36">
        <v>46235</v>
      </c>
      <c r="L396" s="32" t="s">
        <v>80</v>
      </c>
      <c r="M396" s="32" t="s">
        <v>81</v>
      </c>
      <c r="N396" s="32" t="s">
        <v>82</v>
      </c>
      <c r="O396" s="32" t="s">
        <v>83</v>
      </c>
      <c r="P396" s="32" t="s">
        <v>101</v>
      </c>
      <c r="Q396" s="32" t="s">
        <v>95</v>
      </c>
      <c r="R396" s="32">
        <v>0</v>
      </c>
      <c r="S396" s="32">
        <v>1</v>
      </c>
      <c r="T396" s="32">
        <v>1</v>
      </c>
      <c r="U396" s="32">
        <v>0</v>
      </c>
      <c r="V396" s="32" t="s">
        <v>86</v>
      </c>
      <c r="W396" s="32" t="s">
        <v>87</v>
      </c>
      <c r="X396" s="32" t="s">
        <v>88</v>
      </c>
    </row>
    <row r="397" spans="1:24" x14ac:dyDescent="0.25">
      <c r="A397" s="32">
        <v>396</v>
      </c>
      <c r="B397" s="32" t="s">
        <v>1195</v>
      </c>
      <c r="C397" s="32" t="s">
        <v>35</v>
      </c>
      <c r="D397" s="32" t="s">
        <v>90</v>
      </c>
      <c r="E397" s="32" t="s">
        <v>32</v>
      </c>
      <c r="F397" s="32">
        <v>0</v>
      </c>
      <c r="G397" s="33">
        <v>77</v>
      </c>
      <c r="H397" s="33">
        <v>75000</v>
      </c>
      <c r="I397" s="34">
        <v>1E-3</v>
      </c>
      <c r="J397" s="35">
        <v>46260</v>
      </c>
      <c r="K397" s="36">
        <v>46235</v>
      </c>
      <c r="L397" s="32" t="s">
        <v>80</v>
      </c>
      <c r="M397" s="32" t="s">
        <v>81</v>
      </c>
      <c r="N397" s="32" t="s">
        <v>803</v>
      </c>
      <c r="O397" s="32" t="s">
        <v>160</v>
      </c>
      <c r="P397" s="32" t="s">
        <v>101</v>
      </c>
      <c r="Q397" s="32" t="s">
        <v>137</v>
      </c>
      <c r="R397" s="32">
        <v>0</v>
      </c>
      <c r="S397" s="32">
        <v>1</v>
      </c>
      <c r="T397" s="32">
        <v>1</v>
      </c>
      <c r="U397" s="32">
        <v>0</v>
      </c>
      <c r="V397" s="32" t="s">
        <v>96</v>
      </c>
      <c r="W397" s="32" t="s">
        <v>1170</v>
      </c>
      <c r="X397" s="32" t="s">
        <v>1196</v>
      </c>
    </row>
    <row r="398" spans="1:24" x14ac:dyDescent="0.25">
      <c r="A398" s="32">
        <v>397</v>
      </c>
      <c r="B398" s="32" t="s">
        <v>1197</v>
      </c>
      <c r="C398" s="32" t="s">
        <v>17</v>
      </c>
      <c r="D398" s="32" t="s">
        <v>79</v>
      </c>
      <c r="E398" s="32" t="s">
        <v>32</v>
      </c>
      <c r="F398" s="32">
        <v>0</v>
      </c>
      <c r="G398" s="33">
        <v>104</v>
      </c>
      <c r="H398" s="33">
        <v>138</v>
      </c>
      <c r="I398" s="34">
        <v>0.754</v>
      </c>
      <c r="J398" s="35">
        <v>46267</v>
      </c>
      <c r="K398" s="36">
        <v>46266</v>
      </c>
      <c r="L398" s="32" t="s">
        <v>80</v>
      </c>
      <c r="M398" s="32" t="s">
        <v>151</v>
      </c>
      <c r="N398" s="32" t="s">
        <v>337</v>
      </c>
      <c r="O398" s="32" t="s">
        <v>93</v>
      </c>
      <c r="P398" s="32" t="s">
        <v>94</v>
      </c>
      <c r="Q398" s="32" t="s">
        <v>95</v>
      </c>
      <c r="R398" s="32">
        <v>0</v>
      </c>
      <c r="S398" s="32">
        <v>1</v>
      </c>
      <c r="T398" s="32">
        <v>1</v>
      </c>
      <c r="U398" s="32">
        <v>0</v>
      </c>
      <c r="V398" s="32" t="s">
        <v>96</v>
      </c>
      <c r="W398" s="32" t="s">
        <v>191</v>
      </c>
      <c r="X398" s="32" t="s">
        <v>1198</v>
      </c>
    </row>
    <row r="399" spans="1:24" x14ac:dyDescent="0.25">
      <c r="A399" s="32">
        <v>398</v>
      </c>
      <c r="B399" s="32" t="s">
        <v>1199</v>
      </c>
      <c r="C399" s="32" t="s">
        <v>17</v>
      </c>
      <c r="D399" s="32" t="s">
        <v>79</v>
      </c>
      <c r="E399" s="32" t="s">
        <v>36</v>
      </c>
      <c r="F399" s="32">
        <v>0</v>
      </c>
      <c r="G399" s="33">
        <v>4500</v>
      </c>
      <c r="H399" s="33">
        <v>49000</v>
      </c>
      <c r="I399" s="34">
        <v>9.1999999999999998E-2</v>
      </c>
      <c r="J399" s="35">
        <v>46155</v>
      </c>
      <c r="K399" s="36">
        <v>46143</v>
      </c>
      <c r="L399" s="32" t="s">
        <v>80</v>
      </c>
      <c r="M399" s="32" t="s">
        <v>91</v>
      </c>
      <c r="N399" s="32" t="s">
        <v>394</v>
      </c>
      <c r="O399" s="32" t="s">
        <v>83</v>
      </c>
      <c r="P399" s="32" t="s">
        <v>84</v>
      </c>
      <c r="Q399" s="32" t="s">
        <v>102</v>
      </c>
      <c r="R399" s="32">
        <v>0</v>
      </c>
      <c r="S399" s="32">
        <v>1</v>
      </c>
      <c r="T399" s="32">
        <v>1</v>
      </c>
      <c r="U399" s="32">
        <v>0</v>
      </c>
      <c r="V399" s="32" t="s">
        <v>96</v>
      </c>
      <c r="W399" s="32" t="s">
        <v>759</v>
      </c>
      <c r="X399" s="32" t="s">
        <v>1200</v>
      </c>
    </row>
    <row r="400" spans="1:24" x14ac:dyDescent="0.25">
      <c r="A400" s="32">
        <v>399</v>
      </c>
      <c r="B400" s="32" t="s">
        <v>1201</v>
      </c>
      <c r="C400" s="32" t="s">
        <v>31</v>
      </c>
      <c r="D400" s="32" t="s">
        <v>79</v>
      </c>
      <c r="E400" s="32" t="s">
        <v>32</v>
      </c>
      <c r="F400" s="32">
        <v>0</v>
      </c>
      <c r="G400" s="33">
        <v>500</v>
      </c>
      <c r="H400" s="33">
        <v>400000</v>
      </c>
      <c r="I400" s="34">
        <v>1E-3</v>
      </c>
      <c r="J400" s="35">
        <v>46023</v>
      </c>
      <c r="K400" s="36">
        <v>46023</v>
      </c>
      <c r="L400" s="32" t="s">
        <v>25</v>
      </c>
      <c r="M400" s="32" t="s">
        <v>100</v>
      </c>
      <c r="N400" s="32" t="s">
        <v>100</v>
      </c>
      <c r="O400" s="32" t="s">
        <v>113</v>
      </c>
      <c r="P400" s="32" t="s">
        <v>101</v>
      </c>
      <c r="Q400" s="32" t="s">
        <v>85</v>
      </c>
      <c r="R400" s="32">
        <v>0</v>
      </c>
      <c r="S400" s="32">
        <v>1</v>
      </c>
      <c r="T400" s="32">
        <v>1</v>
      </c>
      <c r="U400" s="32">
        <v>0</v>
      </c>
      <c r="V400" s="32" t="s">
        <v>96</v>
      </c>
      <c r="W400" s="32" t="s">
        <v>264</v>
      </c>
      <c r="X400" s="32" t="s">
        <v>271</v>
      </c>
    </row>
    <row r="401" spans="1:24" x14ac:dyDescent="0.25">
      <c r="A401" s="32">
        <v>400</v>
      </c>
      <c r="B401" s="32" t="s">
        <v>1202</v>
      </c>
      <c r="C401" s="32" t="s">
        <v>35</v>
      </c>
      <c r="D401" s="32" t="s">
        <v>90</v>
      </c>
      <c r="E401" s="32" t="s">
        <v>32</v>
      </c>
      <c r="F401" s="32">
        <v>0</v>
      </c>
      <c r="G401" s="33">
        <v>6000</v>
      </c>
      <c r="H401" s="33">
        <v>100000</v>
      </c>
      <c r="I401" s="34">
        <v>0.06</v>
      </c>
      <c r="J401" s="35"/>
      <c r="K401" s="36"/>
      <c r="L401" s="32" t="s">
        <v>110</v>
      </c>
      <c r="M401" s="32" t="s">
        <v>111</v>
      </c>
      <c r="N401" s="32" t="s">
        <v>112</v>
      </c>
      <c r="O401" s="32" t="s">
        <v>113</v>
      </c>
      <c r="P401" s="32" t="s">
        <v>84</v>
      </c>
      <c r="Q401" s="32" t="s">
        <v>114</v>
      </c>
      <c r="R401" s="32">
        <v>0</v>
      </c>
      <c r="S401" s="32">
        <v>1</v>
      </c>
      <c r="T401" s="32">
        <v>1</v>
      </c>
      <c r="U401" s="32">
        <v>0</v>
      </c>
      <c r="V401" s="32" t="s">
        <v>96</v>
      </c>
      <c r="W401" s="32" t="s">
        <v>115</v>
      </c>
      <c r="X401" s="32" t="s">
        <v>116</v>
      </c>
    </row>
    <row r="402" spans="1:24" x14ac:dyDescent="0.25">
      <c r="A402" s="32">
        <v>401</v>
      </c>
      <c r="B402" s="32" t="s">
        <v>1203</v>
      </c>
      <c r="C402" s="32" t="s">
        <v>17</v>
      </c>
      <c r="D402" s="32" t="s">
        <v>79</v>
      </c>
      <c r="E402" s="32" t="s">
        <v>32</v>
      </c>
      <c r="F402" s="32">
        <v>0</v>
      </c>
      <c r="G402" s="33">
        <v>90</v>
      </c>
      <c r="H402" s="33">
        <v>250</v>
      </c>
      <c r="I402" s="34">
        <v>0.36</v>
      </c>
      <c r="J402" s="35">
        <v>46089</v>
      </c>
      <c r="K402" s="36">
        <v>46082</v>
      </c>
      <c r="L402" s="32" t="s">
        <v>80</v>
      </c>
      <c r="M402" s="32" t="s">
        <v>106</v>
      </c>
      <c r="N402" s="32" t="s">
        <v>1204</v>
      </c>
      <c r="O402" s="32" t="s">
        <v>93</v>
      </c>
      <c r="P402" s="32" t="s">
        <v>94</v>
      </c>
      <c r="Q402" s="32" t="s">
        <v>137</v>
      </c>
      <c r="R402" s="32">
        <v>0</v>
      </c>
      <c r="S402" s="32">
        <v>1</v>
      </c>
      <c r="T402" s="32">
        <v>1</v>
      </c>
      <c r="U402" s="32">
        <v>0</v>
      </c>
      <c r="V402" s="32" t="s">
        <v>96</v>
      </c>
      <c r="W402" s="32" t="s">
        <v>138</v>
      </c>
      <c r="X402" s="32" t="s">
        <v>139</v>
      </c>
    </row>
    <row r="403" spans="1:24" x14ac:dyDescent="0.25">
      <c r="A403" s="32">
        <v>402</v>
      </c>
      <c r="B403" s="32" t="s">
        <v>1205</v>
      </c>
      <c r="C403" s="32" t="s">
        <v>17</v>
      </c>
      <c r="D403" s="32" t="s">
        <v>79</v>
      </c>
      <c r="E403" s="32" t="s">
        <v>32</v>
      </c>
      <c r="F403" s="32">
        <v>0</v>
      </c>
      <c r="G403" s="33">
        <v>250</v>
      </c>
      <c r="H403" s="33">
        <v>37000</v>
      </c>
      <c r="I403" s="34">
        <v>6.9999999999999004E-3</v>
      </c>
      <c r="J403" s="35">
        <v>46183</v>
      </c>
      <c r="K403" s="36">
        <v>46174</v>
      </c>
      <c r="L403" s="32" t="s">
        <v>80</v>
      </c>
      <c r="M403" s="32" t="s">
        <v>194</v>
      </c>
      <c r="N403" s="32" t="s">
        <v>963</v>
      </c>
      <c r="O403" s="32" t="s">
        <v>83</v>
      </c>
      <c r="P403" s="32" t="s">
        <v>101</v>
      </c>
      <c r="Q403" s="32" t="s">
        <v>95</v>
      </c>
      <c r="R403" s="32">
        <v>0</v>
      </c>
      <c r="S403" s="32">
        <v>1</v>
      </c>
      <c r="T403" s="32">
        <v>1</v>
      </c>
      <c r="U403" s="32">
        <v>0</v>
      </c>
      <c r="V403" s="32" t="s">
        <v>96</v>
      </c>
      <c r="W403" s="32" t="s">
        <v>252</v>
      </c>
      <c r="X403" s="32" t="s">
        <v>1206</v>
      </c>
    </row>
    <row r="404" spans="1:24" x14ac:dyDescent="0.25">
      <c r="A404" s="32">
        <v>403</v>
      </c>
      <c r="B404" s="32" t="s">
        <v>1207</v>
      </c>
      <c r="C404" s="32" t="s">
        <v>17</v>
      </c>
      <c r="D404" s="32" t="s">
        <v>79</v>
      </c>
      <c r="E404" s="32" t="s">
        <v>34</v>
      </c>
      <c r="F404" s="32">
        <v>0</v>
      </c>
      <c r="G404" s="33">
        <v>307</v>
      </c>
      <c r="H404" s="33">
        <v>1600</v>
      </c>
      <c r="I404" s="34">
        <v>0.192</v>
      </c>
      <c r="J404" s="35">
        <v>46273</v>
      </c>
      <c r="K404" s="36">
        <v>46266</v>
      </c>
      <c r="L404" s="32" t="s">
        <v>80</v>
      </c>
      <c r="M404" s="32" t="s">
        <v>151</v>
      </c>
      <c r="N404" s="32" t="s">
        <v>434</v>
      </c>
      <c r="O404" s="32" t="s">
        <v>125</v>
      </c>
      <c r="P404" s="32" t="s">
        <v>119</v>
      </c>
      <c r="Q404" s="32" t="s">
        <v>95</v>
      </c>
      <c r="R404" s="32">
        <v>0</v>
      </c>
      <c r="S404" s="32">
        <v>1</v>
      </c>
      <c r="T404" s="32">
        <v>1</v>
      </c>
      <c r="U404" s="32">
        <v>0</v>
      </c>
      <c r="V404" s="32" t="s">
        <v>86</v>
      </c>
      <c r="W404" s="32" t="s">
        <v>383</v>
      </c>
      <c r="X404" s="32" t="s">
        <v>384</v>
      </c>
    </row>
    <row r="405" spans="1:24" x14ac:dyDescent="0.25">
      <c r="A405" s="32">
        <v>404</v>
      </c>
      <c r="B405" s="32" t="s">
        <v>1208</v>
      </c>
      <c r="C405" s="32" t="s">
        <v>15</v>
      </c>
      <c r="D405" s="32" t="s">
        <v>79</v>
      </c>
      <c r="E405" s="32" t="s">
        <v>32</v>
      </c>
      <c r="F405" s="32">
        <v>0</v>
      </c>
      <c r="G405" s="33">
        <v>64</v>
      </c>
      <c r="H405" s="33">
        <v>733</v>
      </c>
      <c r="I405" s="34">
        <v>8.6999999999999994E-2</v>
      </c>
      <c r="J405" s="35">
        <v>46269</v>
      </c>
      <c r="K405" s="36">
        <v>46266</v>
      </c>
      <c r="L405" s="32" t="s">
        <v>80</v>
      </c>
      <c r="M405" s="32" t="s">
        <v>151</v>
      </c>
      <c r="N405" s="32" t="s">
        <v>495</v>
      </c>
      <c r="O405" s="32" t="s">
        <v>93</v>
      </c>
      <c r="P405" s="32" t="s">
        <v>84</v>
      </c>
      <c r="Q405" s="32" t="s">
        <v>137</v>
      </c>
      <c r="R405" s="32">
        <v>0</v>
      </c>
      <c r="S405" s="32">
        <v>1</v>
      </c>
      <c r="T405" s="32">
        <v>1</v>
      </c>
      <c r="U405" s="32">
        <v>0</v>
      </c>
      <c r="V405" s="32" t="s">
        <v>211</v>
      </c>
      <c r="W405" s="32" t="s">
        <v>212</v>
      </c>
      <c r="X405" s="32" t="s">
        <v>1209</v>
      </c>
    </row>
    <row r="406" spans="1:24" x14ac:dyDescent="0.25">
      <c r="A406" s="32">
        <v>405</v>
      </c>
      <c r="B406" s="32" t="s">
        <v>1210</v>
      </c>
      <c r="C406" s="32" t="s">
        <v>31</v>
      </c>
      <c r="D406" s="32" t="s">
        <v>79</v>
      </c>
      <c r="E406" s="32" t="s">
        <v>32</v>
      </c>
      <c r="F406" s="32">
        <v>0</v>
      </c>
      <c r="G406" s="33">
        <v>1180</v>
      </c>
      <c r="H406" s="33">
        <v>1180</v>
      </c>
      <c r="I406" s="34">
        <v>1</v>
      </c>
      <c r="J406" s="35">
        <v>46050</v>
      </c>
      <c r="K406" s="36">
        <v>46023</v>
      </c>
      <c r="L406" s="32" t="s">
        <v>80</v>
      </c>
      <c r="M406" s="32" t="s">
        <v>100</v>
      </c>
      <c r="N406" s="32" t="s">
        <v>141</v>
      </c>
      <c r="O406" s="32" t="s">
        <v>125</v>
      </c>
      <c r="P406" s="32" t="s">
        <v>297</v>
      </c>
      <c r="Q406" s="32" t="s">
        <v>102</v>
      </c>
      <c r="R406" s="32">
        <v>1</v>
      </c>
      <c r="S406" s="32">
        <v>1</v>
      </c>
      <c r="T406" s="32">
        <v>1</v>
      </c>
      <c r="U406" s="32">
        <v>0</v>
      </c>
      <c r="V406" s="32" t="s">
        <v>96</v>
      </c>
      <c r="W406" s="32" t="s">
        <v>264</v>
      </c>
      <c r="X406" s="32" t="s">
        <v>1211</v>
      </c>
    </row>
    <row r="407" spans="1:24" x14ac:dyDescent="0.25">
      <c r="A407" s="32">
        <v>406</v>
      </c>
      <c r="B407" s="32" t="s">
        <v>1212</v>
      </c>
      <c r="C407" s="32" t="s">
        <v>33</v>
      </c>
      <c r="D407" s="32" t="s">
        <v>90</v>
      </c>
      <c r="E407" s="32" t="s">
        <v>32</v>
      </c>
      <c r="F407" s="32">
        <v>0</v>
      </c>
      <c r="G407" s="33">
        <v>575</v>
      </c>
      <c r="H407" s="33">
        <v>3843</v>
      </c>
      <c r="I407" s="34">
        <v>0.15</v>
      </c>
      <c r="J407" s="35">
        <v>46268</v>
      </c>
      <c r="K407" s="36">
        <v>46266</v>
      </c>
      <c r="L407" s="32" t="s">
        <v>80</v>
      </c>
      <c r="M407" s="32" t="s">
        <v>151</v>
      </c>
      <c r="N407" s="32" t="s">
        <v>350</v>
      </c>
      <c r="O407" s="32" t="s">
        <v>125</v>
      </c>
      <c r="P407" s="32" t="s">
        <v>119</v>
      </c>
      <c r="Q407" s="32" t="s">
        <v>85</v>
      </c>
      <c r="R407" s="32">
        <v>0</v>
      </c>
      <c r="S407" s="32">
        <v>1</v>
      </c>
      <c r="T407" s="32">
        <v>1</v>
      </c>
      <c r="U407" s="32">
        <v>0</v>
      </c>
      <c r="V407" s="32" t="s">
        <v>96</v>
      </c>
      <c r="W407" s="32" t="s">
        <v>1213</v>
      </c>
      <c r="X407" s="32" t="s">
        <v>1214</v>
      </c>
    </row>
    <row r="408" spans="1:24" x14ac:dyDescent="0.25">
      <c r="A408" s="32">
        <v>407</v>
      </c>
      <c r="B408" s="32" t="s">
        <v>1215</v>
      </c>
      <c r="C408" s="32" t="s">
        <v>17</v>
      </c>
      <c r="D408" s="32" t="s">
        <v>79</v>
      </c>
      <c r="E408" s="32" t="s">
        <v>32</v>
      </c>
      <c r="F408" s="32">
        <v>0</v>
      </c>
      <c r="G408" s="33">
        <v>200</v>
      </c>
      <c r="H408" s="33">
        <v>400</v>
      </c>
      <c r="I408" s="34">
        <v>0.5</v>
      </c>
      <c r="J408" s="35">
        <v>46084</v>
      </c>
      <c r="K408" s="36">
        <v>46082</v>
      </c>
      <c r="L408" s="32" t="s">
        <v>80</v>
      </c>
      <c r="M408" s="32" t="s">
        <v>106</v>
      </c>
      <c r="N408" s="32" t="s">
        <v>301</v>
      </c>
      <c r="O408" s="32" t="s">
        <v>93</v>
      </c>
      <c r="P408" s="32" t="s">
        <v>94</v>
      </c>
      <c r="Q408" s="32" t="s">
        <v>95</v>
      </c>
      <c r="R408" s="32">
        <v>0</v>
      </c>
      <c r="S408" s="32">
        <v>1</v>
      </c>
      <c r="T408" s="32">
        <v>1</v>
      </c>
      <c r="U408" s="32">
        <v>0</v>
      </c>
      <c r="V408" s="32" t="s">
        <v>96</v>
      </c>
      <c r="W408" s="32" t="s">
        <v>138</v>
      </c>
      <c r="X408" s="32" t="s">
        <v>139</v>
      </c>
    </row>
    <row r="409" spans="1:24" x14ac:dyDescent="0.25">
      <c r="A409" s="32">
        <v>408</v>
      </c>
      <c r="B409" s="32" t="s">
        <v>1216</v>
      </c>
      <c r="C409" s="32" t="s">
        <v>17</v>
      </c>
      <c r="D409" s="32" t="s">
        <v>79</v>
      </c>
      <c r="E409" s="32" t="s">
        <v>32</v>
      </c>
      <c r="F409" s="32">
        <v>0</v>
      </c>
      <c r="G409" s="33">
        <v>80</v>
      </c>
      <c r="H409" s="33">
        <v>125000</v>
      </c>
      <c r="I409" s="34">
        <v>1E-3</v>
      </c>
      <c r="J409" s="35">
        <v>46055</v>
      </c>
      <c r="K409" s="36">
        <v>46054</v>
      </c>
      <c r="L409" s="32" t="s">
        <v>80</v>
      </c>
      <c r="M409" s="32" t="s">
        <v>187</v>
      </c>
      <c r="N409" s="32" t="s">
        <v>1217</v>
      </c>
      <c r="O409" s="32" t="s">
        <v>113</v>
      </c>
      <c r="P409" s="32" t="s">
        <v>101</v>
      </c>
      <c r="Q409" s="32" t="s">
        <v>137</v>
      </c>
      <c r="R409" s="32">
        <v>0</v>
      </c>
      <c r="S409" s="32">
        <v>1</v>
      </c>
      <c r="T409" s="32">
        <v>1</v>
      </c>
      <c r="U409" s="32">
        <v>0</v>
      </c>
      <c r="V409" s="32" t="s">
        <v>96</v>
      </c>
      <c r="W409" s="32" t="s">
        <v>138</v>
      </c>
      <c r="X409" s="32" t="s">
        <v>139</v>
      </c>
    </row>
    <row r="410" spans="1:24" x14ac:dyDescent="0.25">
      <c r="A410" s="32">
        <v>409</v>
      </c>
      <c r="B410" s="32" t="s">
        <v>1218</v>
      </c>
      <c r="C410" s="32" t="s">
        <v>33</v>
      </c>
      <c r="D410" s="32" t="s">
        <v>90</v>
      </c>
      <c r="E410" s="32" t="s">
        <v>32</v>
      </c>
      <c r="F410" s="32">
        <v>0</v>
      </c>
      <c r="G410" s="33">
        <v>96</v>
      </c>
      <c r="H410" s="33">
        <v>297</v>
      </c>
      <c r="I410" s="34">
        <v>0.3229999999999999</v>
      </c>
      <c r="J410" s="35">
        <v>46288</v>
      </c>
      <c r="K410" s="36">
        <v>46266</v>
      </c>
      <c r="L410" s="32" t="s">
        <v>80</v>
      </c>
      <c r="M410" s="32" t="s">
        <v>151</v>
      </c>
      <c r="N410" s="32" t="s">
        <v>403</v>
      </c>
      <c r="O410" s="32" t="s">
        <v>93</v>
      </c>
      <c r="P410" s="32" t="s">
        <v>94</v>
      </c>
      <c r="Q410" s="32" t="s">
        <v>137</v>
      </c>
      <c r="R410" s="32">
        <v>0</v>
      </c>
      <c r="S410" s="32">
        <v>1</v>
      </c>
      <c r="T410" s="32">
        <v>1</v>
      </c>
      <c r="U410" s="32">
        <v>0</v>
      </c>
      <c r="V410" s="32" t="s">
        <v>96</v>
      </c>
      <c r="W410" s="32" t="s">
        <v>1219</v>
      </c>
      <c r="X410" s="32" t="s">
        <v>1220</v>
      </c>
    </row>
    <row r="411" spans="1:24" x14ac:dyDescent="0.25">
      <c r="A411" s="32">
        <v>410</v>
      </c>
      <c r="B411" s="32" t="s">
        <v>1221</v>
      </c>
      <c r="C411" s="32" t="s">
        <v>33</v>
      </c>
      <c r="D411" s="32" t="s">
        <v>90</v>
      </c>
      <c r="E411" s="32" t="s">
        <v>30</v>
      </c>
      <c r="F411" s="32">
        <v>1</v>
      </c>
      <c r="G411" s="33">
        <v>500</v>
      </c>
      <c r="H411" s="33">
        <v>27100</v>
      </c>
      <c r="I411" s="34">
        <v>1.7999999999999999E-2</v>
      </c>
      <c r="J411" s="35">
        <v>46216</v>
      </c>
      <c r="K411" s="36">
        <v>46204</v>
      </c>
      <c r="L411" s="32" t="s">
        <v>80</v>
      </c>
      <c r="M411" s="32" t="s">
        <v>123</v>
      </c>
      <c r="N411" s="32" t="s">
        <v>812</v>
      </c>
      <c r="O411" s="32" t="s">
        <v>83</v>
      </c>
      <c r="P411" s="32" t="s">
        <v>101</v>
      </c>
      <c r="Q411" s="32" t="s">
        <v>85</v>
      </c>
      <c r="R411" s="32">
        <v>0</v>
      </c>
      <c r="S411" s="32">
        <v>1</v>
      </c>
      <c r="T411" s="32">
        <v>1</v>
      </c>
      <c r="U411" s="32">
        <v>0</v>
      </c>
      <c r="V411" s="32" t="s">
        <v>96</v>
      </c>
      <c r="W411" s="32" t="s">
        <v>966</v>
      </c>
      <c r="X411" s="32" t="s">
        <v>1222</v>
      </c>
    </row>
    <row r="412" spans="1:24" x14ac:dyDescent="0.25">
      <c r="A412" s="32">
        <v>411</v>
      </c>
      <c r="B412" s="32" t="s">
        <v>1223</v>
      </c>
      <c r="C412" s="32" t="s">
        <v>29</v>
      </c>
      <c r="D412" s="32" t="s">
        <v>79</v>
      </c>
      <c r="E412" s="32" t="s">
        <v>30</v>
      </c>
      <c r="F412" s="32">
        <v>1</v>
      </c>
      <c r="G412" s="33">
        <v>350</v>
      </c>
      <c r="H412" s="33">
        <v>4375</v>
      </c>
      <c r="I412" s="34">
        <v>0.08</v>
      </c>
      <c r="J412" s="35">
        <v>46148</v>
      </c>
      <c r="K412" s="36">
        <v>46143</v>
      </c>
      <c r="L412" s="32" t="s">
        <v>80</v>
      </c>
      <c r="M412" s="32" t="s">
        <v>91</v>
      </c>
      <c r="N412" s="32" t="s">
        <v>183</v>
      </c>
      <c r="O412" s="32" t="s">
        <v>125</v>
      </c>
      <c r="P412" s="32" t="s">
        <v>84</v>
      </c>
      <c r="Q412" s="32" t="s">
        <v>95</v>
      </c>
      <c r="R412" s="32">
        <v>0</v>
      </c>
      <c r="S412" s="32">
        <v>1</v>
      </c>
      <c r="T412" s="32">
        <v>1</v>
      </c>
      <c r="U412" s="32">
        <v>0</v>
      </c>
      <c r="V412" s="32" t="s">
        <v>96</v>
      </c>
      <c r="W412" s="32" t="s">
        <v>1224</v>
      </c>
      <c r="X412" s="32" t="s">
        <v>1225</v>
      </c>
    </row>
    <row r="413" spans="1:24" x14ac:dyDescent="0.25">
      <c r="A413" s="32">
        <v>412</v>
      </c>
      <c r="B413" s="32" t="s">
        <v>1226</v>
      </c>
      <c r="C413" s="32" t="s">
        <v>29</v>
      </c>
      <c r="D413" s="32" t="s">
        <v>79</v>
      </c>
      <c r="E413" s="32" t="s">
        <v>30</v>
      </c>
      <c r="F413" s="32">
        <v>1</v>
      </c>
      <c r="G413" s="33">
        <v>300</v>
      </c>
      <c r="H413" s="33">
        <v>40000</v>
      </c>
      <c r="I413" s="34">
        <v>8.0000000000000002E-3</v>
      </c>
      <c r="J413" s="35">
        <v>46204</v>
      </c>
      <c r="K413" s="36">
        <v>46204</v>
      </c>
      <c r="L413" s="32" t="s">
        <v>80</v>
      </c>
      <c r="M413" s="32" t="s">
        <v>123</v>
      </c>
      <c r="N413" s="32" t="s">
        <v>386</v>
      </c>
      <c r="O413" s="32" t="s">
        <v>83</v>
      </c>
      <c r="P413" s="32" t="s">
        <v>101</v>
      </c>
      <c r="Q413" s="32" t="s">
        <v>95</v>
      </c>
      <c r="R413" s="32">
        <v>0</v>
      </c>
      <c r="S413" s="32">
        <v>1</v>
      </c>
      <c r="T413" s="32">
        <v>3</v>
      </c>
      <c r="U413" s="32">
        <v>1</v>
      </c>
      <c r="V413" s="32" t="s">
        <v>96</v>
      </c>
      <c r="W413" s="32" t="s">
        <v>459</v>
      </c>
      <c r="X413" s="32" t="s">
        <v>1227</v>
      </c>
    </row>
    <row r="414" spans="1:24" x14ac:dyDescent="0.25">
      <c r="A414" s="32">
        <v>413</v>
      </c>
      <c r="B414" s="32" t="s">
        <v>1226</v>
      </c>
      <c r="C414" s="32" t="s">
        <v>29</v>
      </c>
      <c r="D414" s="32" t="s">
        <v>79</v>
      </c>
      <c r="E414" s="32" t="s">
        <v>32</v>
      </c>
      <c r="F414" s="32">
        <v>0</v>
      </c>
      <c r="G414" s="33">
        <v>250</v>
      </c>
      <c r="H414" s="33">
        <v>7000</v>
      </c>
      <c r="I414" s="34">
        <v>3.5999999999999997E-2</v>
      </c>
      <c r="J414" s="35">
        <v>46239</v>
      </c>
      <c r="K414" s="36">
        <v>46235</v>
      </c>
      <c r="L414" s="32" t="s">
        <v>80</v>
      </c>
      <c r="M414" s="32" t="s">
        <v>81</v>
      </c>
      <c r="N414" s="32" t="s">
        <v>529</v>
      </c>
      <c r="O414" s="32" t="s">
        <v>125</v>
      </c>
      <c r="P414" s="32" t="s">
        <v>101</v>
      </c>
      <c r="Q414" s="32" t="s">
        <v>95</v>
      </c>
      <c r="R414" s="32">
        <v>0</v>
      </c>
      <c r="S414" s="32">
        <v>2</v>
      </c>
      <c r="T414" s="32">
        <v>3</v>
      </c>
      <c r="U414" s="32">
        <v>1</v>
      </c>
      <c r="V414" s="32" t="s">
        <v>96</v>
      </c>
      <c r="W414" s="32" t="s">
        <v>1228</v>
      </c>
      <c r="X414" s="32" t="s">
        <v>1229</v>
      </c>
    </row>
    <row r="415" spans="1:24" x14ac:dyDescent="0.25">
      <c r="A415" s="32">
        <v>414</v>
      </c>
      <c r="B415" s="32" t="s">
        <v>1226</v>
      </c>
      <c r="C415" s="32" t="s">
        <v>29</v>
      </c>
      <c r="D415" s="32" t="s">
        <v>79</v>
      </c>
      <c r="E415" s="32" t="s">
        <v>32</v>
      </c>
      <c r="F415" s="32">
        <v>0</v>
      </c>
      <c r="G415" s="33">
        <v>75</v>
      </c>
      <c r="H415" s="33">
        <v>7000</v>
      </c>
      <c r="I415" s="34">
        <v>1.0999999999999999E-2</v>
      </c>
      <c r="J415" s="35">
        <v>46253</v>
      </c>
      <c r="K415" s="36">
        <v>46235</v>
      </c>
      <c r="L415" s="32" t="s">
        <v>80</v>
      </c>
      <c r="M415" s="32" t="s">
        <v>81</v>
      </c>
      <c r="N415" s="32" t="s">
        <v>685</v>
      </c>
      <c r="O415" s="32" t="s">
        <v>125</v>
      </c>
      <c r="P415" s="32" t="s">
        <v>101</v>
      </c>
      <c r="Q415" s="32" t="s">
        <v>137</v>
      </c>
      <c r="R415" s="32">
        <v>0</v>
      </c>
      <c r="S415" s="32">
        <v>3</v>
      </c>
      <c r="T415" s="32">
        <v>3</v>
      </c>
      <c r="U415" s="32">
        <v>1</v>
      </c>
      <c r="V415" s="32" t="s">
        <v>96</v>
      </c>
      <c r="W415" s="32" t="s">
        <v>149</v>
      </c>
      <c r="X415" s="32" t="s">
        <v>1230</v>
      </c>
    </row>
    <row r="416" spans="1:24" x14ac:dyDescent="0.25">
      <c r="A416" s="32">
        <v>415</v>
      </c>
      <c r="B416" s="32" t="s">
        <v>1231</v>
      </c>
      <c r="C416" s="32" t="s">
        <v>2</v>
      </c>
      <c r="D416" s="32" t="s">
        <v>79</v>
      </c>
      <c r="E416" s="32" t="s">
        <v>32</v>
      </c>
      <c r="F416" s="32">
        <v>0</v>
      </c>
      <c r="G416" s="33">
        <v>126</v>
      </c>
      <c r="H416" s="33">
        <v>30000</v>
      </c>
      <c r="I416" s="34">
        <v>4.0000000000000001E-3</v>
      </c>
      <c r="J416" s="35">
        <v>46141</v>
      </c>
      <c r="K416" s="36">
        <v>46113</v>
      </c>
      <c r="L416" s="32" t="s">
        <v>80</v>
      </c>
      <c r="M416" s="32" t="s">
        <v>144</v>
      </c>
      <c r="N416" s="32" t="s">
        <v>421</v>
      </c>
      <c r="O416" s="32" t="s">
        <v>83</v>
      </c>
      <c r="P416" s="32" t="s">
        <v>101</v>
      </c>
      <c r="Q416" s="32" t="s">
        <v>95</v>
      </c>
      <c r="R416" s="32">
        <v>0</v>
      </c>
      <c r="S416" s="32">
        <v>1</v>
      </c>
      <c r="T416" s="32">
        <v>1</v>
      </c>
      <c r="U416" s="32">
        <v>0</v>
      </c>
      <c r="V416" s="32" t="s">
        <v>86</v>
      </c>
      <c r="W416" s="32" t="s">
        <v>591</v>
      </c>
      <c r="X416" s="32" t="s">
        <v>1232</v>
      </c>
    </row>
    <row r="417" spans="1:24" x14ac:dyDescent="0.25">
      <c r="A417" s="32">
        <v>416</v>
      </c>
      <c r="B417" s="32" t="s">
        <v>1233</v>
      </c>
      <c r="C417" s="32" t="s">
        <v>17</v>
      </c>
      <c r="D417" s="32" t="s">
        <v>79</v>
      </c>
      <c r="E417" s="32" t="s">
        <v>32</v>
      </c>
      <c r="F417" s="32">
        <v>0</v>
      </c>
      <c r="G417" s="33">
        <v>557</v>
      </c>
      <c r="H417" s="33">
        <v>133000</v>
      </c>
      <c r="I417" s="34">
        <v>4.0000000000000001E-3</v>
      </c>
      <c r="J417" s="35">
        <v>46269</v>
      </c>
      <c r="K417" s="36">
        <v>46266</v>
      </c>
      <c r="L417" s="32" t="s">
        <v>80</v>
      </c>
      <c r="M417" s="32" t="s">
        <v>151</v>
      </c>
      <c r="N417" s="32" t="s">
        <v>495</v>
      </c>
      <c r="O417" s="32" t="s">
        <v>113</v>
      </c>
      <c r="P417" s="32" t="s">
        <v>101</v>
      </c>
      <c r="Q417" s="32" t="s">
        <v>85</v>
      </c>
      <c r="R417" s="32">
        <v>0</v>
      </c>
      <c r="S417" s="32">
        <v>1</v>
      </c>
      <c r="T417" s="32">
        <v>1</v>
      </c>
      <c r="U417" s="32">
        <v>0</v>
      </c>
      <c r="V417" s="32" t="s">
        <v>96</v>
      </c>
      <c r="W417" s="32" t="s">
        <v>1234</v>
      </c>
      <c r="X417" s="32" t="s">
        <v>1235</v>
      </c>
    </row>
    <row r="418" spans="1:24" x14ac:dyDescent="0.25">
      <c r="A418" s="32">
        <v>417</v>
      </c>
      <c r="B418" s="32" t="s">
        <v>1236</v>
      </c>
      <c r="C418" s="32" t="s">
        <v>5</v>
      </c>
      <c r="D418" s="32" t="s">
        <v>90</v>
      </c>
      <c r="E418" s="32" t="s">
        <v>32</v>
      </c>
      <c r="F418" s="32">
        <v>0</v>
      </c>
      <c r="G418" s="33">
        <v>200</v>
      </c>
      <c r="H418" s="33">
        <v>800</v>
      </c>
      <c r="I418" s="34">
        <v>0.25</v>
      </c>
      <c r="J418" s="35">
        <v>46282</v>
      </c>
      <c r="K418" s="36">
        <v>46266</v>
      </c>
      <c r="L418" s="32" t="s">
        <v>80</v>
      </c>
      <c r="M418" s="32" t="s">
        <v>151</v>
      </c>
      <c r="N418" s="32" t="s">
        <v>152</v>
      </c>
      <c r="O418" s="32" t="s">
        <v>93</v>
      </c>
      <c r="P418" s="32" t="s">
        <v>94</v>
      </c>
      <c r="Q418" s="32" t="s">
        <v>95</v>
      </c>
      <c r="R418" s="32">
        <v>0</v>
      </c>
      <c r="S418" s="32">
        <v>1</v>
      </c>
      <c r="T418" s="32">
        <v>1</v>
      </c>
      <c r="U418" s="32">
        <v>0</v>
      </c>
      <c r="V418" s="32" t="s">
        <v>96</v>
      </c>
      <c r="W418" s="32" t="s">
        <v>1237</v>
      </c>
      <c r="X418" s="32" t="s">
        <v>1238</v>
      </c>
    </row>
    <row r="419" spans="1:24" x14ac:dyDescent="0.25">
      <c r="A419" s="32">
        <v>418</v>
      </c>
      <c r="B419" s="32" t="s">
        <v>1239</v>
      </c>
      <c r="C419" s="32" t="s">
        <v>20</v>
      </c>
      <c r="D419" s="32" t="s">
        <v>79</v>
      </c>
      <c r="E419" s="32" t="s">
        <v>32</v>
      </c>
      <c r="F419" s="32">
        <v>0</v>
      </c>
      <c r="G419" s="33">
        <v>4900</v>
      </c>
      <c r="H419" s="33">
        <v>139000</v>
      </c>
      <c r="I419" s="34">
        <v>3.5000000000000003E-2</v>
      </c>
      <c r="J419" s="35">
        <v>46023</v>
      </c>
      <c r="K419" s="36">
        <v>46023</v>
      </c>
      <c r="L419" s="32" t="s">
        <v>25</v>
      </c>
      <c r="M419" s="32" t="s">
        <v>100</v>
      </c>
      <c r="N419" s="32" t="s">
        <v>100</v>
      </c>
      <c r="O419" s="32" t="s">
        <v>113</v>
      </c>
      <c r="P419" s="32" t="s">
        <v>101</v>
      </c>
      <c r="Q419" s="32" t="s">
        <v>102</v>
      </c>
      <c r="R419" s="32">
        <v>0</v>
      </c>
      <c r="S419" s="32">
        <v>1</v>
      </c>
      <c r="T419" s="32">
        <v>3</v>
      </c>
      <c r="U419" s="32">
        <v>1</v>
      </c>
      <c r="V419" s="32" t="s">
        <v>96</v>
      </c>
      <c r="W419" s="32" t="s">
        <v>575</v>
      </c>
      <c r="X419" s="32" t="s">
        <v>576</v>
      </c>
    </row>
    <row r="420" spans="1:24" x14ac:dyDescent="0.25">
      <c r="A420" s="32">
        <v>419</v>
      </c>
      <c r="B420" s="32" t="s">
        <v>1239</v>
      </c>
      <c r="C420" s="32" t="s">
        <v>20</v>
      </c>
      <c r="D420" s="32" t="s">
        <v>79</v>
      </c>
      <c r="E420" s="32" t="s">
        <v>32</v>
      </c>
      <c r="F420" s="32">
        <v>0</v>
      </c>
      <c r="G420" s="33">
        <v>2500</v>
      </c>
      <c r="H420" s="33">
        <v>133000</v>
      </c>
      <c r="I420" s="34">
        <v>1.9E-2</v>
      </c>
      <c r="J420" s="35">
        <v>46247</v>
      </c>
      <c r="K420" s="36">
        <v>46235</v>
      </c>
      <c r="L420" s="32" t="s">
        <v>80</v>
      </c>
      <c r="M420" s="32" t="s">
        <v>81</v>
      </c>
      <c r="N420" s="32" t="s">
        <v>503</v>
      </c>
      <c r="O420" s="32" t="s">
        <v>113</v>
      </c>
      <c r="P420" s="32" t="s">
        <v>101</v>
      </c>
      <c r="Q420" s="32" t="s">
        <v>102</v>
      </c>
      <c r="R420" s="32">
        <v>0</v>
      </c>
      <c r="S420" s="32">
        <v>2</v>
      </c>
      <c r="T420" s="32">
        <v>3</v>
      </c>
      <c r="U420" s="32">
        <v>1</v>
      </c>
      <c r="V420" s="32" t="s">
        <v>96</v>
      </c>
      <c r="W420" s="32" t="s">
        <v>1240</v>
      </c>
      <c r="X420" s="32" t="s">
        <v>1241</v>
      </c>
    </row>
    <row r="421" spans="1:24" x14ac:dyDescent="0.25">
      <c r="A421" s="32">
        <v>420</v>
      </c>
      <c r="B421" s="32" t="s">
        <v>1239</v>
      </c>
      <c r="C421" s="32" t="s">
        <v>20</v>
      </c>
      <c r="D421" s="32" t="s">
        <v>79</v>
      </c>
      <c r="E421" s="32" t="s">
        <v>32</v>
      </c>
      <c r="F421" s="32">
        <v>0</v>
      </c>
      <c r="G421" s="33">
        <v>723</v>
      </c>
      <c r="H421" s="33">
        <v>133000</v>
      </c>
      <c r="I421" s="34">
        <v>5.0000000000000001E-3</v>
      </c>
      <c r="J421" s="35">
        <v>46247</v>
      </c>
      <c r="K421" s="36">
        <v>46235</v>
      </c>
      <c r="L421" s="32" t="s">
        <v>80</v>
      </c>
      <c r="M421" s="32" t="s">
        <v>81</v>
      </c>
      <c r="N421" s="32" t="s">
        <v>503</v>
      </c>
      <c r="O421" s="32" t="s">
        <v>113</v>
      </c>
      <c r="P421" s="32" t="s">
        <v>101</v>
      </c>
      <c r="Q421" s="32" t="s">
        <v>85</v>
      </c>
      <c r="R421" s="32">
        <v>0</v>
      </c>
      <c r="S421" s="32">
        <v>3</v>
      </c>
      <c r="T421" s="32">
        <v>3</v>
      </c>
      <c r="U421" s="32">
        <v>1</v>
      </c>
      <c r="V421" s="32" t="s">
        <v>96</v>
      </c>
      <c r="W421" s="32" t="s">
        <v>1242</v>
      </c>
      <c r="X421" s="32" t="s">
        <v>1243</v>
      </c>
    </row>
    <row r="422" spans="1:24" x14ac:dyDescent="0.25">
      <c r="A422" s="32">
        <v>421</v>
      </c>
      <c r="B422" s="32" t="s">
        <v>1244</v>
      </c>
      <c r="C422" s="32" t="s">
        <v>17</v>
      </c>
      <c r="D422" s="32" t="s">
        <v>79</v>
      </c>
      <c r="E422" s="32" t="s">
        <v>32</v>
      </c>
      <c r="F422" s="32">
        <v>0</v>
      </c>
      <c r="G422" s="33">
        <v>102</v>
      </c>
      <c r="H422" s="33">
        <v>1450</v>
      </c>
      <c r="I422" s="34">
        <v>7.0000000000000007E-2</v>
      </c>
      <c r="J422" s="35">
        <v>46237</v>
      </c>
      <c r="K422" s="36">
        <v>46235</v>
      </c>
      <c r="L422" s="32" t="s">
        <v>80</v>
      </c>
      <c r="M422" s="32" t="s">
        <v>81</v>
      </c>
      <c r="N422" s="32" t="s">
        <v>563</v>
      </c>
      <c r="O422" s="32" t="s">
        <v>125</v>
      </c>
      <c r="P422" s="32" t="s">
        <v>84</v>
      </c>
      <c r="Q422" s="32" t="s">
        <v>95</v>
      </c>
      <c r="R422" s="32">
        <v>0</v>
      </c>
      <c r="S422" s="32">
        <v>1</v>
      </c>
      <c r="T422" s="32">
        <v>1</v>
      </c>
      <c r="U422" s="32">
        <v>0</v>
      </c>
      <c r="V422" s="32" t="s">
        <v>96</v>
      </c>
      <c r="W422" s="32" t="s">
        <v>1245</v>
      </c>
      <c r="X422" s="32" t="s">
        <v>1246</v>
      </c>
    </row>
    <row r="423" spans="1:24" x14ac:dyDescent="0.25">
      <c r="A423" s="32">
        <v>422</v>
      </c>
      <c r="B423" s="32" t="s">
        <v>1247</v>
      </c>
      <c r="C423" s="32" t="s">
        <v>33</v>
      </c>
      <c r="D423" s="32" t="s">
        <v>90</v>
      </c>
      <c r="E423" s="32" t="s">
        <v>30</v>
      </c>
      <c r="F423" s="32">
        <v>1</v>
      </c>
      <c r="G423" s="33">
        <v>950</v>
      </c>
      <c r="H423" s="33">
        <v>12800</v>
      </c>
      <c r="I423" s="34">
        <v>7.3999999999999996E-2</v>
      </c>
      <c r="J423" s="35">
        <v>46127</v>
      </c>
      <c r="K423" s="36">
        <v>46113</v>
      </c>
      <c r="L423" s="32" t="s">
        <v>80</v>
      </c>
      <c r="M423" s="32" t="s">
        <v>144</v>
      </c>
      <c r="N423" s="32" t="s">
        <v>218</v>
      </c>
      <c r="O423" s="32" t="s">
        <v>83</v>
      </c>
      <c r="P423" s="32" t="s">
        <v>84</v>
      </c>
      <c r="Q423" s="32" t="s">
        <v>85</v>
      </c>
      <c r="R423" s="32">
        <v>0</v>
      </c>
      <c r="S423" s="32">
        <v>1</v>
      </c>
      <c r="T423" s="32">
        <v>1</v>
      </c>
      <c r="U423" s="32">
        <v>0</v>
      </c>
      <c r="V423" s="32" t="s">
        <v>96</v>
      </c>
      <c r="W423" s="32" t="s">
        <v>264</v>
      </c>
      <c r="X423" s="32" t="s">
        <v>1248</v>
      </c>
    </row>
    <row r="424" spans="1:24" x14ac:dyDescent="0.25">
      <c r="A424" s="32">
        <v>423</v>
      </c>
      <c r="B424" s="32" t="s">
        <v>1249</v>
      </c>
      <c r="C424" s="32" t="s">
        <v>2</v>
      </c>
      <c r="D424" s="32" t="s">
        <v>79</v>
      </c>
      <c r="E424" s="32" t="s">
        <v>30</v>
      </c>
      <c r="F424" s="32">
        <v>1</v>
      </c>
      <c r="G424" s="33">
        <v>30000</v>
      </c>
      <c r="H424" s="33">
        <v>500000</v>
      </c>
      <c r="I424" s="34">
        <v>0.06</v>
      </c>
      <c r="J424" s="35">
        <v>46023</v>
      </c>
      <c r="K424" s="36">
        <v>46023</v>
      </c>
      <c r="L424" s="32" t="s">
        <v>25</v>
      </c>
      <c r="M424" s="32" t="s">
        <v>100</v>
      </c>
      <c r="N424" s="32" t="s">
        <v>100</v>
      </c>
      <c r="O424" s="32" t="s">
        <v>113</v>
      </c>
      <c r="P424" s="32" t="s">
        <v>84</v>
      </c>
      <c r="Q424" s="32" t="s">
        <v>114</v>
      </c>
      <c r="R424" s="32">
        <v>0</v>
      </c>
      <c r="S424" s="32">
        <v>1</v>
      </c>
      <c r="T424" s="32">
        <v>1</v>
      </c>
      <c r="U424" s="32">
        <v>0</v>
      </c>
      <c r="V424" s="32" t="s">
        <v>96</v>
      </c>
      <c r="W424" s="32" t="s">
        <v>400</v>
      </c>
      <c r="X424" s="32" t="s">
        <v>401</v>
      </c>
    </row>
    <row r="425" spans="1:24" x14ac:dyDescent="0.25">
      <c r="A425" s="32">
        <v>424</v>
      </c>
      <c r="B425" s="32" t="s">
        <v>1250</v>
      </c>
      <c r="C425" s="32" t="s">
        <v>7</v>
      </c>
      <c r="D425" s="32" t="s">
        <v>79</v>
      </c>
      <c r="E425" s="32" t="s">
        <v>32</v>
      </c>
      <c r="F425" s="32">
        <v>0</v>
      </c>
      <c r="G425" s="33">
        <v>65</v>
      </c>
      <c r="H425" s="33">
        <v>23942</v>
      </c>
      <c r="I425" s="34">
        <v>3.0000000000000001E-3</v>
      </c>
      <c r="J425" s="35">
        <v>46266</v>
      </c>
      <c r="K425" s="36">
        <v>46266</v>
      </c>
      <c r="L425" s="32" t="s">
        <v>80</v>
      </c>
      <c r="M425" s="32" t="s">
        <v>151</v>
      </c>
      <c r="N425" s="32" t="s">
        <v>373</v>
      </c>
      <c r="O425" s="32" t="s">
        <v>83</v>
      </c>
      <c r="P425" s="32" t="s">
        <v>101</v>
      </c>
      <c r="Q425" s="32" t="s">
        <v>137</v>
      </c>
      <c r="R425" s="32">
        <v>0</v>
      </c>
      <c r="S425" s="32">
        <v>1</v>
      </c>
      <c r="T425" s="32">
        <v>1</v>
      </c>
      <c r="U425" s="32">
        <v>0</v>
      </c>
      <c r="V425" s="32" t="s">
        <v>96</v>
      </c>
      <c r="W425" s="32" t="s">
        <v>1251</v>
      </c>
      <c r="X425" s="32" t="s">
        <v>1252</v>
      </c>
    </row>
    <row r="426" spans="1:24" x14ac:dyDescent="0.25">
      <c r="A426" s="32">
        <v>425</v>
      </c>
      <c r="B426" s="32" t="s">
        <v>1253</v>
      </c>
      <c r="C426" s="32" t="s">
        <v>2</v>
      </c>
      <c r="D426" s="32" t="s">
        <v>79</v>
      </c>
      <c r="E426" s="32" t="s">
        <v>30</v>
      </c>
      <c r="F426" s="32">
        <v>1</v>
      </c>
      <c r="G426" s="33">
        <v>340</v>
      </c>
      <c r="H426" s="33">
        <v>34000</v>
      </c>
      <c r="I426" s="34">
        <v>0.01</v>
      </c>
      <c r="J426" s="35">
        <v>46176</v>
      </c>
      <c r="K426" s="36">
        <v>46174</v>
      </c>
      <c r="L426" s="32" t="s">
        <v>80</v>
      </c>
      <c r="M426" s="32" t="s">
        <v>194</v>
      </c>
      <c r="N426" s="32" t="s">
        <v>1122</v>
      </c>
      <c r="O426" s="32" t="s">
        <v>83</v>
      </c>
      <c r="P426" s="32" t="s">
        <v>101</v>
      </c>
      <c r="Q426" s="32" t="s">
        <v>95</v>
      </c>
      <c r="R426" s="32">
        <v>0</v>
      </c>
      <c r="S426" s="32">
        <v>1</v>
      </c>
      <c r="T426" s="32">
        <v>2</v>
      </c>
      <c r="U426" s="32">
        <v>1</v>
      </c>
      <c r="V426" s="32" t="s">
        <v>96</v>
      </c>
      <c r="W426" s="32" t="s">
        <v>207</v>
      </c>
      <c r="X426" s="32" t="s">
        <v>1254</v>
      </c>
    </row>
    <row r="427" spans="1:24" x14ac:dyDescent="0.25">
      <c r="A427" s="32">
        <v>426</v>
      </c>
      <c r="B427" s="32" t="s">
        <v>1253</v>
      </c>
      <c r="C427" s="32" t="s">
        <v>2</v>
      </c>
      <c r="D427" s="32" t="s">
        <v>79</v>
      </c>
      <c r="E427" s="32" t="s">
        <v>32</v>
      </c>
      <c r="F427" s="32">
        <v>0</v>
      </c>
      <c r="G427" s="33">
        <v>3300</v>
      </c>
      <c r="H427" s="33">
        <v>34000</v>
      </c>
      <c r="I427" s="34">
        <v>9.6999999999999906E-2</v>
      </c>
      <c r="J427" s="35">
        <v>46267</v>
      </c>
      <c r="K427" s="36">
        <v>46266</v>
      </c>
      <c r="L427" s="32" t="s">
        <v>80</v>
      </c>
      <c r="M427" s="32" t="s">
        <v>151</v>
      </c>
      <c r="N427" s="32" t="s">
        <v>337</v>
      </c>
      <c r="O427" s="32" t="s">
        <v>83</v>
      </c>
      <c r="P427" s="32" t="s">
        <v>84</v>
      </c>
      <c r="Q427" s="32" t="s">
        <v>102</v>
      </c>
      <c r="R427" s="32">
        <v>0</v>
      </c>
      <c r="S427" s="32">
        <v>2</v>
      </c>
      <c r="T427" s="32">
        <v>2</v>
      </c>
      <c r="U427" s="32">
        <v>1</v>
      </c>
      <c r="V427" s="32" t="s">
        <v>96</v>
      </c>
      <c r="W427" s="32" t="s">
        <v>264</v>
      </c>
      <c r="X427" s="32" t="s">
        <v>1255</v>
      </c>
    </row>
    <row r="428" spans="1:24" x14ac:dyDescent="0.25">
      <c r="A428" s="32">
        <v>427</v>
      </c>
      <c r="B428" s="32" t="s">
        <v>1256</v>
      </c>
      <c r="C428" s="32" t="s">
        <v>33</v>
      </c>
      <c r="D428" s="32" t="s">
        <v>90</v>
      </c>
      <c r="E428" s="32" t="s">
        <v>32</v>
      </c>
      <c r="F428" s="32">
        <v>0</v>
      </c>
      <c r="G428" s="33">
        <v>380</v>
      </c>
      <c r="H428" s="33">
        <v>19000</v>
      </c>
      <c r="I428" s="34">
        <v>0.02</v>
      </c>
      <c r="J428" s="35">
        <v>46183</v>
      </c>
      <c r="K428" s="36">
        <v>46174</v>
      </c>
      <c r="L428" s="32" t="s">
        <v>80</v>
      </c>
      <c r="M428" s="32" t="s">
        <v>194</v>
      </c>
      <c r="N428" s="32" t="s">
        <v>963</v>
      </c>
      <c r="O428" s="32" t="s">
        <v>83</v>
      </c>
      <c r="P428" s="32" t="s">
        <v>101</v>
      </c>
      <c r="Q428" s="32" t="s">
        <v>95</v>
      </c>
      <c r="R428" s="32">
        <v>0</v>
      </c>
      <c r="S428" s="32">
        <v>1</v>
      </c>
      <c r="T428" s="32">
        <v>1</v>
      </c>
      <c r="U428" s="32">
        <v>0</v>
      </c>
      <c r="V428" s="32" t="s">
        <v>96</v>
      </c>
      <c r="W428" s="32" t="s">
        <v>521</v>
      </c>
      <c r="X428" s="32" t="s">
        <v>1257</v>
      </c>
    </row>
    <row r="429" spans="1:24" x14ac:dyDescent="0.25">
      <c r="A429" s="32">
        <v>428</v>
      </c>
      <c r="B429" s="32" t="s">
        <v>1258</v>
      </c>
      <c r="C429" s="32" t="s">
        <v>33</v>
      </c>
      <c r="D429" s="32" t="s">
        <v>90</v>
      </c>
      <c r="E429" s="32" t="s">
        <v>32</v>
      </c>
      <c r="F429" s="32">
        <v>0</v>
      </c>
      <c r="G429" s="33">
        <v>105</v>
      </c>
      <c r="H429" s="33">
        <v>19000</v>
      </c>
      <c r="I429" s="34">
        <v>6.0000000000000001E-3</v>
      </c>
      <c r="J429" s="35">
        <v>46100</v>
      </c>
      <c r="K429" s="36">
        <v>46082</v>
      </c>
      <c r="L429" s="32" t="s">
        <v>80</v>
      </c>
      <c r="M429" s="32" t="s">
        <v>106</v>
      </c>
      <c r="N429" s="32" t="s">
        <v>456</v>
      </c>
      <c r="O429" s="32" t="s">
        <v>83</v>
      </c>
      <c r="P429" s="32" t="s">
        <v>101</v>
      </c>
      <c r="Q429" s="32" t="s">
        <v>95</v>
      </c>
      <c r="R429" s="32">
        <v>0</v>
      </c>
      <c r="S429" s="32">
        <v>1</v>
      </c>
      <c r="T429" s="32">
        <v>1</v>
      </c>
      <c r="U429" s="32">
        <v>0</v>
      </c>
      <c r="V429" s="32" t="s">
        <v>96</v>
      </c>
      <c r="W429" s="32" t="s">
        <v>1259</v>
      </c>
      <c r="X429" s="32" t="s">
        <v>1260</v>
      </c>
    </row>
    <row r="430" spans="1:24" x14ac:dyDescent="0.25">
      <c r="A430" s="32">
        <v>429</v>
      </c>
      <c r="B430" s="32" t="s">
        <v>1261</v>
      </c>
      <c r="C430" s="32" t="s">
        <v>2</v>
      </c>
      <c r="D430" s="32" t="s">
        <v>79</v>
      </c>
      <c r="E430" s="32" t="s">
        <v>34</v>
      </c>
      <c r="F430" s="32">
        <v>0</v>
      </c>
      <c r="G430" s="33">
        <v>1334</v>
      </c>
      <c r="H430" s="33">
        <v>1700</v>
      </c>
      <c r="I430" s="34">
        <v>0.78500000000000003</v>
      </c>
      <c r="J430" s="35">
        <v>46027</v>
      </c>
      <c r="K430" s="36">
        <v>46023</v>
      </c>
      <c r="L430" s="32" t="s">
        <v>80</v>
      </c>
      <c r="M430" s="32" t="s">
        <v>100</v>
      </c>
      <c r="N430" s="32" t="s">
        <v>621</v>
      </c>
      <c r="O430" s="32" t="s">
        <v>125</v>
      </c>
      <c r="P430" s="32" t="s">
        <v>94</v>
      </c>
      <c r="Q430" s="32" t="s">
        <v>102</v>
      </c>
      <c r="R430" s="32">
        <v>0</v>
      </c>
      <c r="S430" s="32">
        <v>1</v>
      </c>
      <c r="T430" s="32">
        <v>1</v>
      </c>
      <c r="U430" s="32">
        <v>0</v>
      </c>
      <c r="V430" s="32" t="s">
        <v>96</v>
      </c>
      <c r="W430" s="32" t="s">
        <v>1262</v>
      </c>
      <c r="X430" s="32" t="s">
        <v>1263</v>
      </c>
    </row>
    <row r="431" spans="1:24" x14ac:dyDescent="0.25">
      <c r="A431" s="32">
        <v>430</v>
      </c>
      <c r="B431" s="32" t="s">
        <v>1264</v>
      </c>
      <c r="C431" s="32" t="s">
        <v>15</v>
      </c>
      <c r="D431" s="32" t="s">
        <v>79</v>
      </c>
      <c r="E431" s="32" t="s">
        <v>32</v>
      </c>
      <c r="F431" s="32">
        <v>0</v>
      </c>
      <c r="G431" s="33">
        <v>400</v>
      </c>
      <c r="H431" s="33">
        <v>85000</v>
      </c>
      <c r="I431" s="34">
        <v>5.0000000000000001E-3</v>
      </c>
      <c r="J431" s="35">
        <v>46099</v>
      </c>
      <c r="K431" s="36">
        <v>46082</v>
      </c>
      <c r="L431" s="32" t="s">
        <v>80</v>
      </c>
      <c r="M431" s="32" t="s">
        <v>106</v>
      </c>
      <c r="N431" s="32" t="s">
        <v>567</v>
      </c>
      <c r="O431" s="32" t="s">
        <v>160</v>
      </c>
      <c r="P431" s="32" t="s">
        <v>101</v>
      </c>
      <c r="Q431" s="32" t="s">
        <v>95</v>
      </c>
      <c r="R431" s="32">
        <v>0</v>
      </c>
      <c r="S431" s="32">
        <v>1</v>
      </c>
      <c r="T431" s="32">
        <v>1</v>
      </c>
      <c r="U431" s="32">
        <v>0</v>
      </c>
      <c r="V431" s="32" t="s">
        <v>96</v>
      </c>
      <c r="W431" s="32" t="s">
        <v>115</v>
      </c>
      <c r="X431" s="32" t="s">
        <v>116</v>
      </c>
    </row>
    <row r="432" spans="1:24" x14ac:dyDescent="0.25">
      <c r="A432" s="32">
        <v>431</v>
      </c>
      <c r="B432" s="32" t="s">
        <v>1265</v>
      </c>
      <c r="C432" s="32" t="s">
        <v>33</v>
      </c>
      <c r="D432" s="32" t="s">
        <v>90</v>
      </c>
      <c r="E432" s="32" t="s">
        <v>32</v>
      </c>
      <c r="F432" s="32">
        <v>0</v>
      </c>
      <c r="G432" s="33">
        <v>800</v>
      </c>
      <c r="H432" s="33">
        <v>10824</v>
      </c>
      <c r="I432" s="34">
        <v>7.3999999999999996E-2</v>
      </c>
      <c r="J432" s="35">
        <v>46276</v>
      </c>
      <c r="K432" s="36">
        <v>46266</v>
      </c>
      <c r="L432" s="32" t="s">
        <v>80</v>
      </c>
      <c r="M432" s="32" t="s">
        <v>151</v>
      </c>
      <c r="N432" s="32" t="s">
        <v>267</v>
      </c>
      <c r="O432" s="32" t="s">
        <v>83</v>
      </c>
      <c r="P432" s="32" t="s">
        <v>84</v>
      </c>
      <c r="Q432" s="32" t="s">
        <v>85</v>
      </c>
      <c r="R432" s="32">
        <v>0</v>
      </c>
      <c r="S432" s="32">
        <v>1</v>
      </c>
      <c r="T432" s="32">
        <v>1</v>
      </c>
      <c r="U432" s="32">
        <v>0</v>
      </c>
      <c r="V432" s="32" t="s">
        <v>96</v>
      </c>
      <c r="W432" s="32" t="s">
        <v>1266</v>
      </c>
      <c r="X432" s="32" t="s">
        <v>1267</v>
      </c>
    </row>
    <row r="433" spans="1:24" x14ac:dyDescent="0.25">
      <c r="A433" s="32">
        <v>432</v>
      </c>
      <c r="B433" s="32" t="s">
        <v>1268</v>
      </c>
      <c r="C433" s="32" t="s">
        <v>7</v>
      </c>
      <c r="D433" s="32" t="s">
        <v>79</v>
      </c>
      <c r="E433" s="32" t="s">
        <v>36</v>
      </c>
      <c r="F433" s="32">
        <v>0</v>
      </c>
      <c r="G433" s="33">
        <v>84</v>
      </c>
      <c r="H433" s="33">
        <v>14000</v>
      </c>
      <c r="I433" s="34">
        <v>6.0000000000000001E-3</v>
      </c>
      <c r="J433" s="35">
        <v>46176</v>
      </c>
      <c r="K433" s="36">
        <v>46174</v>
      </c>
      <c r="L433" s="32" t="s">
        <v>80</v>
      </c>
      <c r="M433" s="32" t="s">
        <v>194</v>
      </c>
      <c r="N433" s="32" t="s">
        <v>1122</v>
      </c>
      <c r="O433" s="32" t="s">
        <v>83</v>
      </c>
      <c r="P433" s="32" t="s">
        <v>101</v>
      </c>
      <c r="Q433" s="32" t="s">
        <v>137</v>
      </c>
      <c r="R433" s="32">
        <v>0</v>
      </c>
      <c r="S433" s="32">
        <v>1</v>
      </c>
      <c r="T433" s="32">
        <v>1</v>
      </c>
      <c r="U433" s="32">
        <v>0</v>
      </c>
      <c r="V433" s="32" t="s">
        <v>96</v>
      </c>
      <c r="W433" s="32" t="s">
        <v>1269</v>
      </c>
      <c r="X433" s="32" t="s">
        <v>1270</v>
      </c>
    </row>
    <row r="434" spans="1:24" x14ac:dyDescent="0.25">
      <c r="A434" s="32">
        <v>433</v>
      </c>
      <c r="B434" s="32" t="s">
        <v>1271</v>
      </c>
      <c r="C434" s="32" t="s">
        <v>17</v>
      </c>
      <c r="D434" s="32" t="s">
        <v>79</v>
      </c>
      <c r="E434" s="32" t="s">
        <v>36</v>
      </c>
      <c r="F434" s="32">
        <v>0</v>
      </c>
      <c r="G434" s="33">
        <v>199</v>
      </c>
      <c r="H434" s="33">
        <v>15000</v>
      </c>
      <c r="I434" s="34">
        <v>1.2999999999999999E-2</v>
      </c>
      <c r="J434" s="35">
        <v>46280</v>
      </c>
      <c r="K434" s="36">
        <v>46266</v>
      </c>
      <c r="L434" s="32" t="s">
        <v>80</v>
      </c>
      <c r="M434" s="32" t="s">
        <v>151</v>
      </c>
      <c r="N434" s="32" t="s">
        <v>239</v>
      </c>
      <c r="O434" s="32" t="s">
        <v>83</v>
      </c>
      <c r="P434" s="32" t="s">
        <v>101</v>
      </c>
      <c r="Q434" s="32" t="s">
        <v>95</v>
      </c>
      <c r="R434" s="32">
        <v>0</v>
      </c>
      <c r="S434" s="32">
        <v>1</v>
      </c>
      <c r="T434" s="32">
        <v>1</v>
      </c>
      <c r="U434" s="32">
        <v>0</v>
      </c>
      <c r="V434" s="32" t="s">
        <v>96</v>
      </c>
      <c r="W434" s="32" t="s">
        <v>1272</v>
      </c>
      <c r="X434" s="32" t="s">
        <v>1273</v>
      </c>
    </row>
    <row r="435" spans="1:24" x14ac:dyDescent="0.25">
      <c r="A435" s="32">
        <v>434</v>
      </c>
      <c r="B435" s="32" t="s">
        <v>1274</v>
      </c>
      <c r="C435" s="32" t="s">
        <v>33</v>
      </c>
      <c r="D435" s="32" t="s">
        <v>90</v>
      </c>
      <c r="E435" s="32" t="s">
        <v>30</v>
      </c>
      <c r="F435" s="32">
        <v>1</v>
      </c>
      <c r="G435" s="33">
        <v>145</v>
      </c>
      <c r="H435" s="33">
        <v>600</v>
      </c>
      <c r="I435" s="34">
        <v>0.24199999999999999</v>
      </c>
      <c r="J435" s="35">
        <v>46149</v>
      </c>
      <c r="K435" s="36">
        <v>46143</v>
      </c>
      <c r="L435" s="32" t="s">
        <v>80</v>
      </c>
      <c r="M435" s="32" t="s">
        <v>91</v>
      </c>
      <c r="N435" s="32" t="s">
        <v>227</v>
      </c>
      <c r="O435" s="32" t="s">
        <v>93</v>
      </c>
      <c r="P435" s="32" t="s">
        <v>119</v>
      </c>
      <c r="Q435" s="32" t="s">
        <v>95</v>
      </c>
      <c r="R435" s="32">
        <v>0</v>
      </c>
      <c r="S435" s="32">
        <v>1</v>
      </c>
      <c r="T435" s="32">
        <v>1</v>
      </c>
      <c r="U435" s="32">
        <v>0</v>
      </c>
      <c r="V435" s="32" t="s">
        <v>631</v>
      </c>
      <c r="W435" s="32" t="s">
        <v>1275</v>
      </c>
      <c r="X435" s="32" t="s">
        <v>1276</v>
      </c>
    </row>
    <row r="436" spans="1:24" x14ac:dyDescent="0.25">
      <c r="A436" s="32">
        <v>435</v>
      </c>
      <c r="B436" s="32" t="s">
        <v>1277</v>
      </c>
      <c r="C436" s="32" t="s">
        <v>33</v>
      </c>
      <c r="D436" s="32" t="s">
        <v>90</v>
      </c>
      <c r="E436" s="32" t="s">
        <v>32</v>
      </c>
      <c r="F436" s="32">
        <v>0</v>
      </c>
      <c r="G436" s="33">
        <v>112</v>
      </c>
      <c r="H436" s="33">
        <v>446</v>
      </c>
      <c r="I436" s="34">
        <v>0.251</v>
      </c>
      <c r="J436" s="35">
        <v>46183</v>
      </c>
      <c r="K436" s="36">
        <v>46174</v>
      </c>
      <c r="L436" s="32" t="s">
        <v>80</v>
      </c>
      <c r="M436" s="32" t="s">
        <v>194</v>
      </c>
      <c r="N436" s="32" t="s">
        <v>963</v>
      </c>
      <c r="O436" s="32" t="s">
        <v>93</v>
      </c>
      <c r="P436" s="32" t="s">
        <v>94</v>
      </c>
      <c r="Q436" s="32" t="s">
        <v>95</v>
      </c>
      <c r="R436" s="32">
        <v>0</v>
      </c>
      <c r="S436" s="32">
        <v>1</v>
      </c>
      <c r="T436" s="32">
        <v>1</v>
      </c>
      <c r="U436" s="32">
        <v>0</v>
      </c>
      <c r="V436" s="32" t="s">
        <v>211</v>
      </c>
      <c r="W436" s="32" t="s">
        <v>212</v>
      </c>
      <c r="X436" s="32" t="s">
        <v>1278</v>
      </c>
    </row>
    <row r="437" spans="1:24" x14ac:dyDescent="0.25">
      <c r="A437" s="32">
        <v>436</v>
      </c>
      <c r="B437" s="32" t="s">
        <v>1279</v>
      </c>
      <c r="C437" s="32" t="s">
        <v>35</v>
      </c>
      <c r="D437" s="32" t="s">
        <v>90</v>
      </c>
      <c r="E437" s="32" t="s">
        <v>30</v>
      </c>
      <c r="F437" s="32">
        <v>1</v>
      </c>
      <c r="G437" s="33">
        <v>621</v>
      </c>
      <c r="H437" s="33">
        <v>87000</v>
      </c>
      <c r="I437" s="34">
        <v>6.9999999999999004E-3</v>
      </c>
      <c r="J437" s="35">
        <v>46149</v>
      </c>
      <c r="K437" s="36">
        <v>46143</v>
      </c>
      <c r="L437" s="32" t="s">
        <v>80</v>
      </c>
      <c r="M437" s="32" t="s">
        <v>91</v>
      </c>
      <c r="N437" s="32" t="s">
        <v>227</v>
      </c>
      <c r="O437" s="32" t="s">
        <v>160</v>
      </c>
      <c r="P437" s="32" t="s">
        <v>101</v>
      </c>
      <c r="Q437" s="32" t="s">
        <v>85</v>
      </c>
      <c r="R437" s="32">
        <v>0</v>
      </c>
      <c r="S437" s="32">
        <v>1</v>
      </c>
      <c r="T437" s="32">
        <v>2</v>
      </c>
      <c r="U437" s="32">
        <v>1</v>
      </c>
      <c r="V437" s="32" t="s">
        <v>96</v>
      </c>
      <c r="W437" s="32" t="s">
        <v>1073</v>
      </c>
      <c r="X437" s="32" t="s">
        <v>1280</v>
      </c>
    </row>
    <row r="438" spans="1:24" x14ac:dyDescent="0.25">
      <c r="A438" s="32">
        <v>437</v>
      </c>
      <c r="B438" s="32" t="s">
        <v>1279</v>
      </c>
      <c r="C438" s="32" t="s">
        <v>35</v>
      </c>
      <c r="D438" s="32" t="s">
        <v>90</v>
      </c>
      <c r="E438" s="32" t="s">
        <v>32</v>
      </c>
      <c r="F438" s="32">
        <v>0</v>
      </c>
      <c r="G438" s="33">
        <v>3000</v>
      </c>
      <c r="H438" s="33">
        <v>89900</v>
      </c>
      <c r="I438" s="34">
        <v>3.3000000000000002E-2</v>
      </c>
      <c r="J438" s="35">
        <v>46219</v>
      </c>
      <c r="K438" s="36">
        <v>46204</v>
      </c>
      <c r="L438" s="32" t="s">
        <v>80</v>
      </c>
      <c r="M438" s="32" t="s">
        <v>123</v>
      </c>
      <c r="N438" s="32" t="s">
        <v>124</v>
      </c>
      <c r="O438" s="32" t="s">
        <v>160</v>
      </c>
      <c r="P438" s="32" t="s">
        <v>101</v>
      </c>
      <c r="Q438" s="32" t="s">
        <v>102</v>
      </c>
      <c r="R438" s="32">
        <v>0</v>
      </c>
      <c r="S438" s="32">
        <v>2</v>
      </c>
      <c r="T438" s="32">
        <v>2</v>
      </c>
      <c r="U438" s="32">
        <v>1</v>
      </c>
      <c r="V438" s="32" t="s">
        <v>96</v>
      </c>
      <c r="W438" s="32" t="s">
        <v>264</v>
      </c>
      <c r="X438" s="32" t="s">
        <v>1281</v>
      </c>
    </row>
    <row r="439" spans="1:24" x14ac:dyDescent="0.25">
      <c r="A439" s="32">
        <v>438</v>
      </c>
      <c r="B439" s="32" t="s">
        <v>1282</v>
      </c>
      <c r="C439" s="32" t="s">
        <v>17</v>
      </c>
      <c r="D439" s="32" t="s">
        <v>79</v>
      </c>
      <c r="E439" s="32" t="s">
        <v>32</v>
      </c>
      <c r="F439" s="32">
        <v>0</v>
      </c>
      <c r="G439" s="33">
        <v>20</v>
      </c>
      <c r="H439" s="33">
        <v>10000</v>
      </c>
      <c r="I439" s="34">
        <v>2E-3</v>
      </c>
      <c r="J439" s="35">
        <v>46087</v>
      </c>
      <c r="K439" s="36">
        <v>46082</v>
      </c>
      <c r="L439" s="32" t="s">
        <v>80</v>
      </c>
      <c r="M439" s="32" t="s">
        <v>106</v>
      </c>
      <c r="N439" s="32" t="s">
        <v>430</v>
      </c>
      <c r="O439" s="32" t="s">
        <v>83</v>
      </c>
      <c r="P439" s="32" t="s">
        <v>101</v>
      </c>
      <c r="Q439" s="32" t="s">
        <v>137</v>
      </c>
      <c r="R439" s="32">
        <v>0</v>
      </c>
      <c r="S439" s="32">
        <v>1</v>
      </c>
      <c r="T439" s="32">
        <v>1</v>
      </c>
      <c r="U439" s="32">
        <v>0</v>
      </c>
      <c r="V439" s="32" t="s">
        <v>96</v>
      </c>
      <c r="W439" s="32" t="s">
        <v>138</v>
      </c>
      <c r="X439" s="32" t="s">
        <v>139</v>
      </c>
    </row>
    <row r="440" spans="1:24" x14ac:dyDescent="0.25">
      <c r="A440" s="32">
        <v>439</v>
      </c>
      <c r="B440" s="32" t="s">
        <v>1283</v>
      </c>
      <c r="C440" s="32" t="s">
        <v>17</v>
      </c>
      <c r="D440" s="32" t="s">
        <v>79</v>
      </c>
      <c r="E440" s="32" t="s">
        <v>36</v>
      </c>
      <c r="F440" s="32">
        <v>0</v>
      </c>
      <c r="G440" s="33">
        <v>3200</v>
      </c>
      <c r="H440" s="33">
        <v>37000</v>
      </c>
      <c r="I440" s="34">
        <v>8.5999999999999993E-2</v>
      </c>
      <c r="J440" s="35">
        <v>46079</v>
      </c>
      <c r="K440" s="36">
        <v>46054</v>
      </c>
      <c r="L440" s="32" t="s">
        <v>80</v>
      </c>
      <c r="M440" s="32" t="s">
        <v>187</v>
      </c>
      <c r="N440" s="32" t="s">
        <v>275</v>
      </c>
      <c r="O440" s="32" t="s">
        <v>83</v>
      </c>
      <c r="P440" s="32" t="s">
        <v>84</v>
      </c>
      <c r="Q440" s="32" t="s">
        <v>102</v>
      </c>
      <c r="R440" s="32">
        <v>0</v>
      </c>
      <c r="S440" s="32">
        <v>1</v>
      </c>
      <c r="T440" s="32">
        <v>1</v>
      </c>
      <c r="U440" s="32">
        <v>0</v>
      </c>
      <c r="V440" s="32" t="s">
        <v>96</v>
      </c>
      <c r="W440" s="32" t="s">
        <v>138</v>
      </c>
      <c r="X440" s="32" t="s">
        <v>139</v>
      </c>
    </row>
    <row r="441" spans="1:24" x14ac:dyDescent="0.25">
      <c r="A441" s="32">
        <v>440</v>
      </c>
      <c r="B441" s="32" t="s">
        <v>1284</v>
      </c>
      <c r="C441" s="32" t="s">
        <v>15</v>
      </c>
      <c r="D441" s="32" t="s">
        <v>79</v>
      </c>
      <c r="E441" s="32" t="s">
        <v>30</v>
      </c>
      <c r="F441" s="32">
        <v>1</v>
      </c>
      <c r="G441" s="33">
        <v>2600</v>
      </c>
      <c r="H441" s="33">
        <v>37000</v>
      </c>
      <c r="I441" s="34">
        <v>7.0000000000000007E-2</v>
      </c>
      <c r="J441" s="35">
        <v>46231</v>
      </c>
      <c r="K441" s="36">
        <v>46204</v>
      </c>
      <c r="L441" s="32" t="s">
        <v>80</v>
      </c>
      <c r="M441" s="32" t="s">
        <v>123</v>
      </c>
      <c r="N441" s="32" t="s">
        <v>846</v>
      </c>
      <c r="O441" s="32" t="s">
        <v>83</v>
      </c>
      <c r="P441" s="32" t="s">
        <v>84</v>
      </c>
      <c r="Q441" s="32" t="s">
        <v>102</v>
      </c>
      <c r="R441" s="32">
        <v>0</v>
      </c>
      <c r="S441" s="32">
        <v>1</v>
      </c>
      <c r="T441" s="32">
        <v>1</v>
      </c>
      <c r="U441" s="32">
        <v>0</v>
      </c>
      <c r="V441" s="32" t="s">
        <v>96</v>
      </c>
      <c r="W441" s="32" t="s">
        <v>142</v>
      </c>
      <c r="X441" s="32" t="s">
        <v>1285</v>
      </c>
    </row>
    <row r="442" spans="1:24" x14ac:dyDescent="0.25">
      <c r="A442" s="32">
        <v>441</v>
      </c>
      <c r="B442" s="32" t="s">
        <v>1286</v>
      </c>
      <c r="C442" s="32" t="s">
        <v>2</v>
      </c>
      <c r="D442" s="32" t="s">
        <v>79</v>
      </c>
      <c r="E442" s="32" t="s">
        <v>34</v>
      </c>
      <c r="F442" s="32">
        <v>0</v>
      </c>
      <c r="G442" s="33">
        <v>31000</v>
      </c>
      <c r="H442" s="33">
        <v>680000</v>
      </c>
      <c r="I442" s="34">
        <v>4.5999999999999999E-2</v>
      </c>
      <c r="J442" s="35">
        <v>46091</v>
      </c>
      <c r="K442" s="36">
        <v>46082</v>
      </c>
      <c r="L442" s="32" t="s">
        <v>80</v>
      </c>
      <c r="M442" s="32" t="s">
        <v>106</v>
      </c>
      <c r="N442" s="32" t="s">
        <v>520</v>
      </c>
      <c r="O442" s="32" t="s">
        <v>113</v>
      </c>
      <c r="P442" s="32" t="s">
        <v>101</v>
      </c>
      <c r="Q442" s="32" t="s">
        <v>114</v>
      </c>
      <c r="R442" s="32">
        <v>0</v>
      </c>
      <c r="S442" s="32">
        <v>1</v>
      </c>
      <c r="T442" s="32">
        <v>3</v>
      </c>
      <c r="U442" s="32">
        <v>1</v>
      </c>
      <c r="V442" s="32" t="s">
        <v>96</v>
      </c>
      <c r="W442" s="32" t="s">
        <v>1287</v>
      </c>
      <c r="X442" s="32" t="s">
        <v>1288</v>
      </c>
    </row>
    <row r="443" spans="1:24" x14ac:dyDescent="0.25">
      <c r="A443" s="32">
        <v>442</v>
      </c>
      <c r="B443" s="32" t="s">
        <v>1286</v>
      </c>
      <c r="C443" s="32" t="s">
        <v>2</v>
      </c>
      <c r="D443" s="32" t="s">
        <v>79</v>
      </c>
      <c r="E443" s="32" t="s">
        <v>34</v>
      </c>
      <c r="F443" s="32">
        <v>0</v>
      </c>
      <c r="G443" s="33">
        <v>19000</v>
      </c>
      <c r="H443" s="33">
        <v>680000</v>
      </c>
      <c r="I443" s="34">
        <v>2.79999999999999E-2</v>
      </c>
      <c r="J443" s="35">
        <v>46184</v>
      </c>
      <c r="K443" s="36">
        <v>46174</v>
      </c>
      <c r="L443" s="32" t="s">
        <v>80</v>
      </c>
      <c r="M443" s="32" t="s">
        <v>194</v>
      </c>
      <c r="N443" s="32" t="s">
        <v>1289</v>
      </c>
      <c r="O443" s="32" t="s">
        <v>113</v>
      </c>
      <c r="P443" s="32" t="s">
        <v>101</v>
      </c>
      <c r="Q443" s="32" t="s">
        <v>114</v>
      </c>
      <c r="R443" s="32">
        <v>0</v>
      </c>
      <c r="S443" s="32">
        <v>2</v>
      </c>
      <c r="T443" s="32">
        <v>3</v>
      </c>
      <c r="U443" s="32">
        <v>1</v>
      </c>
      <c r="V443" s="32" t="s">
        <v>96</v>
      </c>
      <c r="W443" s="32" t="s">
        <v>1290</v>
      </c>
      <c r="X443" s="32" t="s">
        <v>1291</v>
      </c>
    </row>
    <row r="444" spans="1:24" x14ac:dyDescent="0.25">
      <c r="A444" s="32">
        <v>443</v>
      </c>
      <c r="B444" s="32" t="s">
        <v>1286</v>
      </c>
      <c r="C444" s="32" t="s">
        <v>2</v>
      </c>
      <c r="D444" s="32" t="s">
        <v>79</v>
      </c>
      <c r="E444" s="32" t="s">
        <v>32</v>
      </c>
      <c r="F444" s="32">
        <v>0</v>
      </c>
      <c r="G444" s="33">
        <v>50000</v>
      </c>
      <c r="H444" s="33">
        <v>662942</v>
      </c>
      <c r="I444" s="34">
        <v>7.4999999999999997E-2</v>
      </c>
      <c r="J444" s="35">
        <v>46268</v>
      </c>
      <c r="K444" s="36">
        <v>46266</v>
      </c>
      <c r="L444" s="32" t="s">
        <v>80</v>
      </c>
      <c r="M444" s="32" t="s">
        <v>151</v>
      </c>
      <c r="N444" s="32" t="s">
        <v>350</v>
      </c>
      <c r="O444" s="32" t="s">
        <v>113</v>
      </c>
      <c r="P444" s="32" t="s">
        <v>84</v>
      </c>
      <c r="Q444" s="32" t="s">
        <v>114</v>
      </c>
      <c r="R444" s="32">
        <v>0</v>
      </c>
      <c r="S444" s="32">
        <v>3</v>
      </c>
      <c r="T444" s="32">
        <v>3</v>
      </c>
      <c r="U444" s="32">
        <v>1</v>
      </c>
      <c r="V444" s="32" t="s">
        <v>96</v>
      </c>
      <c r="W444" s="32" t="s">
        <v>1292</v>
      </c>
      <c r="X444" s="32" t="s">
        <v>1293</v>
      </c>
    </row>
    <row r="445" spans="1:24" x14ac:dyDescent="0.25">
      <c r="A445" s="32">
        <v>444</v>
      </c>
      <c r="B445" s="32" t="s">
        <v>1294</v>
      </c>
      <c r="C445" s="32" t="s">
        <v>20</v>
      </c>
      <c r="D445" s="32" t="s">
        <v>79</v>
      </c>
      <c r="E445" s="32" t="s">
        <v>32</v>
      </c>
      <c r="F445" s="32">
        <v>0</v>
      </c>
      <c r="G445" s="33">
        <v>450</v>
      </c>
      <c r="H445" s="33">
        <v>3300</v>
      </c>
      <c r="I445" s="34">
        <v>0.13600000000000001</v>
      </c>
      <c r="J445" s="35">
        <v>46174</v>
      </c>
      <c r="K445" s="36">
        <v>46174</v>
      </c>
      <c r="L445" s="32" t="s">
        <v>80</v>
      </c>
      <c r="M445" s="32" t="s">
        <v>194</v>
      </c>
      <c r="N445" s="32" t="s">
        <v>630</v>
      </c>
      <c r="O445" s="32" t="s">
        <v>125</v>
      </c>
      <c r="P445" s="32" t="s">
        <v>119</v>
      </c>
      <c r="Q445" s="32" t="s">
        <v>95</v>
      </c>
      <c r="R445" s="32">
        <v>0</v>
      </c>
      <c r="S445" s="32">
        <v>1</v>
      </c>
      <c r="T445" s="32">
        <v>2</v>
      </c>
      <c r="U445" s="32">
        <v>1</v>
      </c>
      <c r="V445" s="32" t="s">
        <v>96</v>
      </c>
      <c r="W445" s="32" t="s">
        <v>1295</v>
      </c>
      <c r="X445" s="32" t="s">
        <v>1296</v>
      </c>
    </row>
    <row r="446" spans="1:24" x14ac:dyDescent="0.25">
      <c r="A446" s="32">
        <v>445</v>
      </c>
      <c r="B446" s="32" t="s">
        <v>1294</v>
      </c>
      <c r="C446" s="32" t="s">
        <v>20</v>
      </c>
      <c r="D446" s="32" t="s">
        <v>79</v>
      </c>
      <c r="E446" s="32" t="s">
        <v>32</v>
      </c>
      <c r="F446" s="32">
        <v>0</v>
      </c>
      <c r="G446" s="33">
        <v>117</v>
      </c>
      <c r="H446" s="33">
        <v>3300</v>
      </c>
      <c r="I446" s="34">
        <v>3.5000000000000003E-2</v>
      </c>
      <c r="J446" s="35">
        <v>46181</v>
      </c>
      <c r="K446" s="36">
        <v>46174</v>
      </c>
      <c r="L446" s="32" t="s">
        <v>80</v>
      </c>
      <c r="M446" s="32" t="s">
        <v>194</v>
      </c>
      <c r="N446" s="32" t="s">
        <v>1297</v>
      </c>
      <c r="O446" s="32" t="s">
        <v>125</v>
      </c>
      <c r="P446" s="32" t="s">
        <v>101</v>
      </c>
      <c r="Q446" s="32" t="s">
        <v>95</v>
      </c>
      <c r="R446" s="32">
        <v>0</v>
      </c>
      <c r="S446" s="32">
        <v>2</v>
      </c>
      <c r="T446" s="32">
        <v>2</v>
      </c>
      <c r="U446" s="32">
        <v>1</v>
      </c>
      <c r="V446" s="32" t="s">
        <v>96</v>
      </c>
      <c r="W446" s="32" t="s">
        <v>607</v>
      </c>
      <c r="X446" s="32" t="s">
        <v>1298</v>
      </c>
    </row>
    <row r="447" spans="1:24" x14ac:dyDescent="0.25">
      <c r="A447" s="32">
        <v>446</v>
      </c>
      <c r="B447" s="32" t="s">
        <v>1299</v>
      </c>
      <c r="C447" s="32" t="s">
        <v>29</v>
      </c>
      <c r="D447" s="32" t="s">
        <v>79</v>
      </c>
      <c r="E447" s="32" t="s">
        <v>32</v>
      </c>
      <c r="F447" s="32">
        <v>0</v>
      </c>
      <c r="G447" s="33">
        <v>30</v>
      </c>
      <c r="H447" s="33">
        <v>1000</v>
      </c>
      <c r="I447" s="34">
        <v>0.03</v>
      </c>
      <c r="J447" s="35">
        <v>46099</v>
      </c>
      <c r="K447" s="36">
        <v>46082</v>
      </c>
      <c r="L447" s="32" t="s">
        <v>80</v>
      </c>
      <c r="M447" s="32" t="s">
        <v>106</v>
      </c>
      <c r="N447" s="32" t="s">
        <v>567</v>
      </c>
      <c r="O447" s="32" t="s">
        <v>125</v>
      </c>
      <c r="P447" s="32" t="s">
        <v>101</v>
      </c>
      <c r="Q447" s="32" t="s">
        <v>137</v>
      </c>
      <c r="R447" s="32">
        <v>0</v>
      </c>
      <c r="S447" s="32">
        <v>1</v>
      </c>
      <c r="T447" s="32">
        <v>1</v>
      </c>
      <c r="U447" s="32">
        <v>0</v>
      </c>
      <c r="V447" s="32" t="s">
        <v>96</v>
      </c>
      <c r="W447" s="32" t="s">
        <v>331</v>
      </c>
      <c r="X447" s="32" t="s">
        <v>1300</v>
      </c>
    </row>
    <row r="448" spans="1:24" x14ac:dyDescent="0.25">
      <c r="A448" s="32">
        <v>447</v>
      </c>
      <c r="B448" s="32" t="s">
        <v>1301</v>
      </c>
      <c r="C448" s="32" t="s">
        <v>29</v>
      </c>
      <c r="D448" s="32" t="s">
        <v>79</v>
      </c>
      <c r="E448" s="32" t="s">
        <v>32</v>
      </c>
      <c r="F448" s="32">
        <v>0</v>
      </c>
      <c r="G448" s="33">
        <v>300</v>
      </c>
      <c r="H448" s="33">
        <v>100000</v>
      </c>
      <c r="I448" s="34">
        <v>3.0000000000000001E-3</v>
      </c>
      <c r="J448" s="35">
        <v>46216</v>
      </c>
      <c r="K448" s="36">
        <v>46204</v>
      </c>
      <c r="L448" s="32" t="s">
        <v>80</v>
      </c>
      <c r="M448" s="32" t="s">
        <v>123</v>
      </c>
      <c r="N448" s="32" t="s">
        <v>812</v>
      </c>
      <c r="O448" s="32" t="s">
        <v>113</v>
      </c>
      <c r="P448" s="32" t="s">
        <v>101</v>
      </c>
      <c r="Q448" s="32" t="s">
        <v>95</v>
      </c>
      <c r="R448" s="32">
        <v>0</v>
      </c>
      <c r="S448" s="32">
        <v>1</v>
      </c>
      <c r="T448" s="32">
        <v>2</v>
      </c>
      <c r="U448" s="32">
        <v>1</v>
      </c>
      <c r="V448" s="32" t="s">
        <v>96</v>
      </c>
      <c r="W448" s="32" t="s">
        <v>1302</v>
      </c>
      <c r="X448" s="32" t="s">
        <v>1303</v>
      </c>
    </row>
    <row r="449" spans="1:24" x14ac:dyDescent="0.25">
      <c r="A449" s="32">
        <v>448</v>
      </c>
      <c r="B449" s="32" t="s">
        <v>1301</v>
      </c>
      <c r="C449" s="32" t="s">
        <v>29</v>
      </c>
      <c r="D449" s="32" t="s">
        <v>79</v>
      </c>
      <c r="E449" s="32" t="s">
        <v>32</v>
      </c>
      <c r="F449" s="32">
        <v>0</v>
      </c>
      <c r="G449" s="33">
        <v>1000</v>
      </c>
      <c r="H449" s="33">
        <v>97388</v>
      </c>
      <c r="I449" s="34">
        <v>0.01</v>
      </c>
      <c r="J449" s="35">
        <v>46266</v>
      </c>
      <c r="K449" s="36">
        <v>46266</v>
      </c>
      <c r="L449" s="32" t="s">
        <v>80</v>
      </c>
      <c r="M449" s="32" t="s">
        <v>151</v>
      </c>
      <c r="N449" s="32" t="s">
        <v>373</v>
      </c>
      <c r="O449" s="32" t="s">
        <v>160</v>
      </c>
      <c r="P449" s="32" t="s">
        <v>101</v>
      </c>
      <c r="Q449" s="32" t="s">
        <v>102</v>
      </c>
      <c r="R449" s="32">
        <v>0</v>
      </c>
      <c r="S449" s="32">
        <v>2</v>
      </c>
      <c r="T449" s="32">
        <v>2</v>
      </c>
      <c r="U449" s="32">
        <v>1</v>
      </c>
      <c r="V449" s="32" t="s">
        <v>96</v>
      </c>
      <c r="W449" s="32" t="s">
        <v>1304</v>
      </c>
      <c r="X449" s="32" t="s">
        <v>1305</v>
      </c>
    </row>
    <row r="450" spans="1:24" x14ac:dyDescent="0.25">
      <c r="A450" s="32">
        <v>449</v>
      </c>
      <c r="B450" s="32" t="s">
        <v>1306</v>
      </c>
      <c r="C450" s="32" t="s">
        <v>31</v>
      </c>
      <c r="D450" s="32" t="s">
        <v>79</v>
      </c>
      <c r="E450" s="32" t="s">
        <v>36</v>
      </c>
      <c r="F450" s="32">
        <v>0</v>
      </c>
      <c r="G450" s="33">
        <v>159</v>
      </c>
      <c r="H450" s="33">
        <v>300000</v>
      </c>
      <c r="I450" s="34">
        <v>1E-3</v>
      </c>
      <c r="J450" s="35">
        <v>46054</v>
      </c>
      <c r="K450" s="36">
        <v>46054</v>
      </c>
      <c r="L450" s="32" t="s">
        <v>25</v>
      </c>
      <c r="M450" s="32" t="s">
        <v>187</v>
      </c>
      <c r="N450" s="32" t="s">
        <v>187</v>
      </c>
      <c r="O450" s="32" t="s">
        <v>113</v>
      </c>
      <c r="P450" s="32" t="s">
        <v>101</v>
      </c>
      <c r="Q450" s="32" t="s">
        <v>95</v>
      </c>
      <c r="R450" s="32">
        <v>0</v>
      </c>
      <c r="S450" s="32">
        <v>1</v>
      </c>
      <c r="T450" s="32">
        <v>1</v>
      </c>
      <c r="U450" s="32">
        <v>0</v>
      </c>
      <c r="V450" s="32" t="s">
        <v>96</v>
      </c>
      <c r="W450" s="32" t="s">
        <v>153</v>
      </c>
      <c r="X450" s="32" t="s">
        <v>1307</v>
      </c>
    </row>
    <row r="451" spans="1:24" x14ac:dyDescent="0.25">
      <c r="A451" s="32">
        <v>450</v>
      </c>
      <c r="B451" s="32" t="s">
        <v>1308</v>
      </c>
      <c r="C451" s="32" t="s">
        <v>31</v>
      </c>
      <c r="D451" s="32" t="s">
        <v>79</v>
      </c>
      <c r="E451" s="32" t="s">
        <v>30</v>
      </c>
      <c r="F451" s="32">
        <v>1</v>
      </c>
      <c r="G451" s="33">
        <v>1100</v>
      </c>
      <c r="H451" s="33">
        <v>2100000</v>
      </c>
      <c r="I451" s="34">
        <v>1E-3</v>
      </c>
      <c r="J451" s="35">
        <v>46154</v>
      </c>
      <c r="K451" s="36">
        <v>46143</v>
      </c>
      <c r="L451" s="32" t="s">
        <v>80</v>
      </c>
      <c r="M451" s="32" t="s">
        <v>91</v>
      </c>
      <c r="N451" s="32" t="s">
        <v>517</v>
      </c>
      <c r="O451" s="32" t="s">
        <v>113</v>
      </c>
      <c r="P451" s="32" t="s">
        <v>101</v>
      </c>
      <c r="Q451" s="32" t="s">
        <v>102</v>
      </c>
      <c r="R451" s="32">
        <v>0</v>
      </c>
      <c r="S451" s="32">
        <v>1</v>
      </c>
      <c r="T451" s="32">
        <v>1</v>
      </c>
      <c r="U451" s="32">
        <v>0</v>
      </c>
      <c r="V451" s="32" t="s">
        <v>96</v>
      </c>
      <c r="W451" s="32" t="s">
        <v>477</v>
      </c>
      <c r="X451" s="32" t="s">
        <v>1309</v>
      </c>
    </row>
    <row r="452" spans="1:24" x14ac:dyDescent="0.25">
      <c r="A452" s="32">
        <v>451</v>
      </c>
      <c r="B452" s="32" t="s">
        <v>1310</v>
      </c>
      <c r="C452" s="32" t="s">
        <v>29</v>
      </c>
      <c r="D452" s="32" t="s">
        <v>79</v>
      </c>
      <c r="E452" s="32" t="s">
        <v>36</v>
      </c>
      <c r="F452" s="32">
        <v>0</v>
      </c>
      <c r="G452" s="33">
        <v>300</v>
      </c>
      <c r="H452" s="33">
        <v>800</v>
      </c>
      <c r="I452" s="34">
        <v>0.375</v>
      </c>
      <c r="J452" s="35">
        <v>46054</v>
      </c>
      <c r="K452" s="36">
        <v>46054</v>
      </c>
      <c r="L452" s="32" t="s">
        <v>25</v>
      </c>
      <c r="M452" s="32" t="s">
        <v>187</v>
      </c>
      <c r="N452" s="32" t="s">
        <v>187</v>
      </c>
      <c r="O452" s="32" t="s">
        <v>93</v>
      </c>
      <c r="P452" s="32" t="s">
        <v>94</v>
      </c>
      <c r="Q452" s="32" t="s">
        <v>95</v>
      </c>
      <c r="R452" s="32">
        <v>0</v>
      </c>
      <c r="S452" s="32">
        <v>1</v>
      </c>
      <c r="T452" s="32">
        <v>1</v>
      </c>
      <c r="U452" s="32">
        <v>0</v>
      </c>
      <c r="V452" s="32" t="s">
        <v>96</v>
      </c>
      <c r="W452" s="32" t="s">
        <v>171</v>
      </c>
      <c r="X452" s="32" t="s">
        <v>172</v>
      </c>
    </row>
    <row r="453" spans="1:24" x14ac:dyDescent="0.25">
      <c r="A453" s="32">
        <v>452</v>
      </c>
      <c r="B453" s="32" t="s">
        <v>1311</v>
      </c>
      <c r="C453" s="32" t="s">
        <v>33</v>
      </c>
      <c r="D453" s="32" t="s">
        <v>90</v>
      </c>
      <c r="E453" s="32" t="s">
        <v>30</v>
      </c>
      <c r="F453" s="32">
        <v>1</v>
      </c>
      <c r="G453" s="33">
        <v>140</v>
      </c>
      <c r="H453" s="33">
        <v>1740</v>
      </c>
      <c r="I453" s="34">
        <v>0.08</v>
      </c>
      <c r="J453" s="35">
        <v>46169</v>
      </c>
      <c r="K453" s="36">
        <v>46143</v>
      </c>
      <c r="L453" s="32" t="s">
        <v>80</v>
      </c>
      <c r="M453" s="32" t="s">
        <v>91</v>
      </c>
      <c r="N453" s="32" t="s">
        <v>251</v>
      </c>
      <c r="O453" s="32" t="s">
        <v>125</v>
      </c>
      <c r="P453" s="32" t="s">
        <v>84</v>
      </c>
      <c r="Q453" s="32" t="s">
        <v>95</v>
      </c>
      <c r="R453" s="32">
        <v>0</v>
      </c>
      <c r="S453" s="32">
        <v>1</v>
      </c>
      <c r="T453" s="32">
        <v>1</v>
      </c>
      <c r="U453" s="32">
        <v>0</v>
      </c>
      <c r="V453" s="32" t="s">
        <v>96</v>
      </c>
      <c r="W453" s="32" t="s">
        <v>1312</v>
      </c>
      <c r="X453" s="32" t="s">
        <v>1313</v>
      </c>
    </row>
    <row r="454" spans="1:24" x14ac:dyDescent="0.25">
      <c r="A454" s="32">
        <v>453</v>
      </c>
      <c r="B454" s="32" t="s">
        <v>1314</v>
      </c>
      <c r="C454" s="32" t="s">
        <v>15</v>
      </c>
      <c r="D454" s="32" t="s">
        <v>79</v>
      </c>
      <c r="E454" s="32" t="s">
        <v>30</v>
      </c>
      <c r="F454" s="32">
        <v>1</v>
      </c>
      <c r="G454" s="33">
        <v>112</v>
      </c>
      <c r="H454" s="33">
        <v>230000</v>
      </c>
      <c r="I454" s="34">
        <v>0</v>
      </c>
      <c r="J454" s="35">
        <v>46056</v>
      </c>
      <c r="K454" s="36">
        <v>46054</v>
      </c>
      <c r="L454" s="32" t="s">
        <v>80</v>
      </c>
      <c r="M454" s="32" t="s">
        <v>187</v>
      </c>
      <c r="N454" s="32" t="s">
        <v>1315</v>
      </c>
      <c r="O454" s="32" t="s">
        <v>113</v>
      </c>
      <c r="P454" s="32" t="s">
        <v>101</v>
      </c>
      <c r="Q454" s="32" t="s">
        <v>95</v>
      </c>
      <c r="R454" s="32">
        <v>0</v>
      </c>
      <c r="S454" s="32">
        <v>1</v>
      </c>
      <c r="T454" s="32">
        <v>1</v>
      </c>
      <c r="U454" s="32">
        <v>0</v>
      </c>
      <c r="V454" s="32" t="s">
        <v>96</v>
      </c>
      <c r="W454" s="32" t="s">
        <v>929</v>
      </c>
      <c r="X454" s="32" t="s">
        <v>1316</v>
      </c>
    </row>
    <row r="455" spans="1:24" x14ac:dyDescent="0.25">
      <c r="A455" s="32">
        <v>454</v>
      </c>
      <c r="B455" s="32" t="s">
        <v>1317</v>
      </c>
      <c r="C455" s="32" t="s">
        <v>17</v>
      </c>
      <c r="D455" s="32" t="s">
        <v>79</v>
      </c>
      <c r="E455" s="32" t="s">
        <v>32</v>
      </c>
      <c r="F455" s="32">
        <v>0</v>
      </c>
      <c r="G455" s="33">
        <v>761</v>
      </c>
      <c r="H455" s="33">
        <v>35000</v>
      </c>
      <c r="I455" s="34">
        <v>2.1999999999999999E-2</v>
      </c>
      <c r="J455" s="35">
        <v>46231</v>
      </c>
      <c r="K455" s="36">
        <v>46204</v>
      </c>
      <c r="L455" s="32" t="s">
        <v>80</v>
      </c>
      <c r="M455" s="32" t="s">
        <v>123</v>
      </c>
      <c r="N455" s="32" t="s">
        <v>846</v>
      </c>
      <c r="O455" s="32" t="s">
        <v>83</v>
      </c>
      <c r="P455" s="32" t="s">
        <v>101</v>
      </c>
      <c r="Q455" s="32" t="s">
        <v>85</v>
      </c>
      <c r="R455" s="32">
        <v>0</v>
      </c>
      <c r="S455" s="32">
        <v>1</v>
      </c>
      <c r="T455" s="32">
        <v>1</v>
      </c>
      <c r="U455" s="32">
        <v>0</v>
      </c>
      <c r="V455" s="32" t="s">
        <v>96</v>
      </c>
      <c r="W455" s="32" t="s">
        <v>1318</v>
      </c>
      <c r="X455" s="32" t="s">
        <v>1319</v>
      </c>
    </row>
    <row r="456" spans="1:24" x14ac:dyDescent="0.25">
      <c r="A456" s="32">
        <v>455</v>
      </c>
      <c r="B456" s="32" t="s">
        <v>1320</v>
      </c>
      <c r="C456" s="32" t="s">
        <v>31</v>
      </c>
      <c r="D456" s="32" t="s">
        <v>79</v>
      </c>
      <c r="E456" s="32" t="s">
        <v>32</v>
      </c>
      <c r="F456" s="32">
        <v>0</v>
      </c>
      <c r="G456" s="33">
        <v>80</v>
      </c>
      <c r="H456" s="33">
        <v>5000</v>
      </c>
      <c r="I456" s="34">
        <v>1.6E-2</v>
      </c>
      <c r="J456" s="35">
        <v>46244</v>
      </c>
      <c r="K456" s="36">
        <v>46235</v>
      </c>
      <c r="L456" s="32" t="s">
        <v>80</v>
      </c>
      <c r="M456" s="32" t="s">
        <v>81</v>
      </c>
      <c r="N456" s="32" t="s">
        <v>705</v>
      </c>
      <c r="O456" s="32" t="s">
        <v>125</v>
      </c>
      <c r="P456" s="32" t="s">
        <v>101</v>
      </c>
      <c r="Q456" s="32" t="s">
        <v>137</v>
      </c>
      <c r="R456" s="32">
        <v>0</v>
      </c>
      <c r="S456" s="32">
        <v>1</v>
      </c>
      <c r="T456" s="32">
        <v>1</v>
      </c>
      <c r="U456" s="32">
        <v>0</v>
      </c>
      <c r="V456" s="32" t="s">
        <v>96</v>
      </c>
      <c r="W456" s="32" t="s">
        <v>1321</v>
      </c>
      <c r="X456" s="32" t="s">
        <v>1322</v>
      </c>
    </row>
    <row r="457" spans="1:24" x14ac:dyDescent="0.25">
      <c r="A457" s="32">
        <v>456</v>
      </c>
      <c r="B457" s="32" t="s">
        <v>1323</v>
      </c>
      <c r="C457" s="32" t="s">
        <v>20</v>
      </c>
      <c r="D457" s="32" t="s">
        <v>79</v>
      </c>
      <c r="E457" s="32" t="s">
        <v>36</v>
      </c>
      <c r="F457" s="32">
        <v>0</v>
      </c>
      <c r="G457" s="33">
        <v>341</v>
      </c>
      <c r="H457" s="33">
        <v>58000</v>
      </c>
      <c r="I457" s="34">
        <v>6.0000000000000001E-3</v>
      </c>
      <c r="J457" s="35">
        <v>46088</v>
      </c>
      <c r="K457" s="36">
        <v>46082</v>
      </c>
      <c r="L457" s="32" t="s">
        <v>80</v>
      </c>
      <c r="M457" s="32" t="s">
        <v>106</v>
      </c>
      <c r="N457" s="32" t="s">
        <v>902</v>
      </c>
      <c r="O457" s="32" t="s">
        <v>160</v>
      </c>
      <c r="P457" s="32" t="s">
        <v>101</v>
      </c>
      <c r="Q457" s="32" t="s">
        <v>95</v>
      </c>
      <c r="R457" s="32">
        <v>0</v>
      </c>
      <c r="S457" s="32">
        <v>1</v>
      </c>
      <c r="T457" s="32">
        <v>1</v>
      </c>
      <c r="U457" s="32">
        <v>0</v>
      </c>
      <c r="V457" s="32" t="s">
        <v>96</v>
      </c>
      <c r="W457" s="32" t="s">
        <v>1324</v>
      </c>
      <c r="X457" s="32" t="s">
        <v>1325</v>
      </c>
    </row>
    <row r="458" spans="1:24" x14ac:dyDescent="0.25">
      <c r="A458" s="32">
        <v>457</v>
      </c>
      <c r="B458" s="32" t="s">
        <v>1326</v>
      </c>
      <c r="C458" s="32" t="s">
        <v>31</v>
      </c>
      <c r="D458" s="32" t="s">
        <v>79</v>
      </c>
      <c r="E458" s="32" t="s">
        <v>32</v>
      </c>
      <c r="F458" s="32">
        <v>0</v>
      </c>
      <c r="G458" s="33">
        <v>3800</v>
      </c>
      <c r="H458" s="33">
        <v>34000</v>
      </c>
      <c r="I458" s="34">
        <v>0.11199999999999991</v>
      </c>
      <c r="J458" s="35">
        <v>46142</v>
      </c>
      <c r="K458" s="36">
        <v>46113</v>
      </c>
      <c r="L458" s="32" t="s">
        <v>80</v>
      </c>
      <c r="M458" s="32" t="s">
        <v>144</v>
      </c>
      <c r="N458" s="32" t="s">
        <v>215</v>
      </c>
      <c r="O458" s="32" t="s">
        <v>83</v>
      </c>
      <c r="P458" s="32" t="s">
        <v>119</v>
      </c>
      <c r="Q458" s="32" t="s">
        <v>102</v>
      </c>
      <c r="R458" s="32">
        <v>0</v>
      </c>
      <c r="S458" s="32">
        <v>1</v>
      </c>
      <c r="T458" s="32">
        <v>1</v>
      </c>
      <c r="U458" s="32">
        <v>0</v>
      </c>
      <c r="V458" s="32" t="s">
        <v>96</v>
      </c>
      <c r="W458" s="32" t="s">
        <v>126</v>
      </c>
      <c r="X458" s="32" t="s">
        <v>1327</v>
      </c>
    </row>
    <row r="459" spans="1:24" x14ac:dyDescent="0.25">
      <c r="A459" s="32">
        <v>458</v>
      </c>
      <c r="B459" s="32" t="s">
        <v>1328</v>
      </c>
      <c r="C459" s="32" t="s">
        <v>20</v>
      </c>
      <c r="D459" s="32" t="s">
        <v>79</v>
      </c>
      <c r="E459" s="32" t="s">
        <v>32</v>
      </c>
      <c r="F459" s="32">
        <v>0</v>
      </c>
      <c r="G459" s="33">
        <v>500</v>
      </c>
      <c r="H459" s="33">
        <v>1700</v>
      </c>
      <c r="I459" s="34">
        <v>0.29399999999999998</v>
      </c>
      <c r="J459" s="35">
        <v>46279</v>
      </c>
      <c r="K459" s="36">
        <v>46266</v>
      </c>
      <c r="L459" s="32" t="s">
        <v>80</v>
      </c>
      <c r="M459" s="32" t="s">
        <v>151</v>
      </c>
      <c r="N459" s="32" t="s">
        <v>968</v>
      </c>
      <c r="O459" s="32" t="s">
        <v>125</v>
      </c>
      <c r="P459" s="32" t="s">
        <v>94</v>
      </c>
      <c r="Q459" s="32" t="s">
        <v>85</v>
      </c>
      <c r="R459" s="32">
        <v>0</v>
      </c>
      <c r="S459" s="32">
        <v>1</v>
      </c>
      <c r="T459" s="32">
        <v>1</v>
      </c>
      <c r="U459" s="32">
        <v>0</v>
      </c>
      <c r="V459" s="32" t="s">
        <v>96</v>
      </c>
      <c r="W459" s="32" t="s">
        <v>770</v>
      </c>
      <c r="X459" s="32" t="s">
        <v>1329</v>
      </c>
    </row>
    <row r="460" spans="1:24" x14ac:dyDescent="0.25">
      <c r="A460" s="32">
        <v>459</v>
      </c>
      <c r="B460" s="32" t="s">
        <v>1330</v>
      </c>
      <c r="C460" s="32" t="s">
        <v>2</v>
      </c>
      <c r="D460" s="32" t="s">
        <v>79</v>
      </c>
      <c r="E460" s="32" t="s">
        <v>30</v>
      </c>
      <c r="F460" s="32">
        <v>1</v>
      </c>
      <c r="G460" s="33">
        <v>2000</v>
      </c>
      <c r="H460" s="33">
        <v>7000</v>
      </c>
      <c r="I460" s="34">
        <v>0.28599999999999998</v>
      </c>
      <c r="J460" s="35">
        <v>46078</v>
      </c>
      <c r="K460" s="36">
        <v>46054</v>
      </c>
      <c r="L460" s="32" t="s">
        <v>80</v>
      </c>
      <c r="M460" s="32" t="s">
        <v>187</v>
      </c>
      <c r="N460" s="32" t="s">
        <v>1331</v>
      </c>
      <c r="O460" s="32" t="s">
        <v>125</v>
      </c>
      <c r="P460" s="32" t="s">
        <v>94</v>
      </c>
      <c r="Q460" s="32" t="s">
        <v>102</v>
      </c>
      <c r="R460" s="32">
        <v>0</v>
      </c>
      <c r="S460" s="32">
        <v>1</v>
      </c>
      <c r="T460" s="32">
        <v>1</v>
      </c>
      <c r="U460" s="32">
        <v>0</v>
      </c>
      <c r="V460" s="32" t="s">
        <v>96</v>
      </c>
      <c r="W460" s="32" t="s">
        <v>207</v>
      </c>
      <c r="X460" s="32" t="s">
        <v>1332</v>
      </c>
    </row>
    <row r="461" spans="1:24" x14ac:dyDescent="0.25">
      <c r="A461" s="32">
        <v>460</v>
      </c>
      <c r="B461" s="32" t="s">
        <v>1333</v>
      </c>
      <c r="C461" s="32" t="s">
        <v>33</v>
      </c>
      <c r="D461" s="32" t="s">
        <v>90</v>
      </c>
      <c r="E461" s="32" t="s">
        <v>30</v>
      </c>
      <c r="F461" s="32">
        <v>1</v>
      </c>
      <c r="G461" s="33">
        <v>1000</v>
      </c>
      <c r="H461" s="33">
        <v>5277</v>
      </c>
      <c r="I461" s="34">
        <v>0.19</v>
      </c>
      <c r="J461" s="35">
        <v>46167</v>
      </c>
      <c r="K461" s="36">
        <v>46143</v>
      </c>
      <c r="L461" s="32" t="s">
        <v>80</v>
      </c>
      <c r="M461" s="32" t="s">
        <v>91</v>
      </c>
      <c r="N461" s="32" t="s">
        <v>1136</v>
      </c>
      <c r="O461" s="32" t="s">
        <v>125</v>
      </c>
      <c r="P461" s="32" t="s">
        <v>119</v>
      </c>
      <c r="Q461" s="32" t="s">
        <v>102</v>
      </c>
      <c r="R461" s="32">
        <v>0</v>
      </c>
      <c r="S461" s="32">
        <v>1</v>
      </c>
      <c r="T461" s="32">
        <v>1</v>
      </c>
      <c r="U461" s="32">
        <v>0</v>
      </c>
      <c r="V461" s="32" t="s">
        <v>96</v>
      </c>
      <c r="W461" s="32" t="s">
        <v>252</v>
      </c>
      <c r="X461" s="32" t="s">
        <v>1334</v>
      </c>
    </row>
    <row r="462" spans="1:24" x14ac:dyDescent="0.25">
      <c r="A462" s="32">
        <v>461</v>
      </c>
      <c r="B462" s="32" t="s">
        <v>1335</v>
      </c>
      <c r="C462" s="32" t="s">
        <v>31</v>
      </c>
      <c r="D462" s="32" t="s">
        <v>79</v>
      </c>
      <c r="E462" s="32" t="s">
        <v>32</v>
      </c>
      <c r="F462" s="32">
        <v>0</v>
      </c>
      <c r="G462" s="33">
        <v>533</v>
      </c>
      <c r="H462" s="33">
        <v>3700</v>
      </c>
      <c r="I462" s="34">
        <v>0.14399999999999999</v>
      </c>
      <c r="J462" s="35">
        <v>46281</v>
      </c>
      <c r="K462" s="36">
        <v>46266</v>
      </c>
      <c r="L462" s="32" t="s">
        <v>80</v>
      </c>
      <c r="M462" s="32" t="s">
        <v>151</v>
      </c>
      <c r="N462" s="32" t="s">
        <v>235</v>
      </c>
      <c r="O462" s="32" t="s">
        <v>125</v>
      </c>
      <c r="P462" s="32" t="s">
        <v>119</v>
      </c>
      <c r="Q462" s="32" t="s">
        <v>85</v>
      </c>
      <c r="R462" s="32">
        <v>0</v>
      </c>
      <c r="S462" s="32">
        <v>1</v>
      </c>
      <c r="T462" s="32">
        <v>1</v>
      </c>
      <c r="U462" s="32">
        <v>0</v>
      </c>
      <c r="V462" s="32" t="s">
        <v>96</v>
      </c>
      <c r="W462" s="32" t="s">
        <v>305</v>
      </c>
      <c r="X462" s="32" t="s">
        <v>1336</v>
      </c>
    </row>
    <row r="463" spans="1:24" x14ac:dyDescent="0.25">
      <c r="A463" s="32">
        <v>462</v>
      </c>
      <c r="B463" s="32" t="s">
        <v>1337</v>
      </c>
      <c r="C463" s="32" t="s">
        <v>33</v>
      </c>
      <c r="D463" s="32" t="s">
        <v>90</v>
      </c>
      <c r="E463" s="32" t="s">
        <v>32</v>
      </c>
      <c r="F463" s="32">
        <v>0</v>
      </c>
      <c r="G463" s="33">
        <v>500</v>
      </c>
      <c r="H463" s="33">
        <v>21070</v>
      </c>
      <c r="I463" s="34">
        <v>2.4E-2</v>
      </c>
      <c r="J463" s="35">
        <v>46294</v>
      </c>
      <c r="K463" s="36">
        <v>46266</v>
      </c>
      <c r="L463" s="32" t="s">
        <v>80</v>
      </c>
      <c r="M463" s="32" t="s">
        <v>151</v>
      </c>
      <c r="N463" s="32" t="s">
        <v>489</v>
      </c>
      <c r="O463" s="32" t="s">
        <v>83</v>
      </c>
      <c r="P463" s="32" t="s">
        <v>101</v>
      </c>
      <c r="Q463" s="32" t="s">
        <v>85</v>
      </c>
      <c r="R463" s="32">
        <v>0</v>
      </c>
      <c r="S463" s="32">
        <v>1</v>
      </c>
      <c r="T463" s="32">
        <v>1</v>
      </c>
      <c r="U463" s="32">
        <v>0</v>
      </c>
      <c r="V463" s="32" t="s">
        <v>96</v>
      </c>
      <c r="W463" s="32" t="s">
        <v>264</v>
      </c>
      <c r="X463" s="32" t="s">
        <v>1338</v>
      </c>
    </row>
    <row r="464" spans="1:24" x14ac:dyDescent="0.25">
      <c r="A464" s="32">
        <v>463</v>
      </c>
      <c r="B464" s="32" t="s">
        <v>1339</v>
      </c>
      <c r="C464" s="32" t="s">
        <v>2</v>
      </c>
      <c r="D464" s="32" t="s">
        <v>79</v>
      </c>
      <c r="E464" s="32" t="s">
        <v>32</v>
      </c>
      <c r="F464" s="32">
        <v>0</v>
      </c>
      <c r="G464" s="33">
        <v>133</v>
      </c>
      <c r="H464" s="33">
        <v>153153</v>
      </c>
      <c r="I464" s="34">
        <v>1E-3</v>
      </c>
      <c r="J464" s="35">
        <v>46296</v>
      </c>
      <c r="K464" s="36">
        <v>46296</v>
      </c>
      <c r="L464" s="32" t="s">
        <v>80</v>
      </c>
      <c r="M464" s="32" t="s">
        <v>178</v>
      </c>
      <c r="N464" s="32" t="s">
        <v>179</v>
      </c>
      <c r="O464" s="32" t="s">
        <v>113</v>
      </c>
      <c r="P464" s="32" t="s">
        <v>101</v>
      </c>
      <c r="Q464" s="32" t="s">
        <v>95</v>
      </c>
      <c r="R464" s="32">
        <v>0</v>
      </c>
      <c r="S464" s="32">
        <v>1</v>
      </c>
      <c r="T464" s="32">
        <v>1</v>
      </c>
      <c r="U464" s="32">
        <v>0</v>
      </c>
      <c r="V464" s="32" t="s">
        <v>96</v>
      </c>
      <c r="W464" s="32" t="s">
        <v>977</v>
      </c>
      <c r="X464" s="32" t="s">
        <v>1340</v>
      </c>
    </row>
    <row r="465" spans="1:24" x14ac:dyDescent="0.25">
      <c r="A465" s="32">
        <v>464</v>
      </c>
      <c r="B465" s="32" t="s">
        <v>1341</v>
      </c>
      <c r="C465" s="32" t="s">
        <v>31</v>
      </c>
      <c r="D465" s="32" t="s">
        <v>79</v>
      </c>
      <c r="E465" s="32" t="s">
        <v>37</v>
      </c>
      <c r="F465" s="32">
        <v>0</v>
      </c>
      <c r="G465" s="33">
        <v>2700</v>
      </c>
      <c r="H465" s="33">
        <v>16582</v>
      </c>
      <c r="I465" s="34">
        <v>0.16300000000000001</v>
      </c>
      <c r="J465" s="35">
        <v>46030</v>
      </c>
      <c r="K465" s="36">
        <v>46023</v>
      </c>
      <c r="L465" s="32" t="s">
        <v>80</v>
      </c>
      <c r="M465" s="32" t="s">
        <v>100</v>
      </c>
      <c r="N465" s="32" t="s">
        <v>1342</v>
      </c>
      <c r="O465" s="32" t="s">
        <v>83</v>
      </c>
      <c r="P465" s="32" t="s">
        <v>119</v>
      </c>
      <c r="Q465" s="32" t="s">
        <v>102</v>
      </c>
      <c r="R465" s="32">
        <v>0</v>
      </c>
      <c r="S465" s="32">
        <v>1</v>
      </c>
      <c r="T465" s="32">
        <v>1</v>
      </c>
      <c r="U465" s="32">
        <v>0</v>
      </c>
      <c r="V465" s="32" t="s">
        <v>96</v>
      </c>
      <c r="W465" s="32" t="s">
        <v>1343</v>
      </c>
      <c r="X465" s="32" t="s">
        <v>1344</v>
      </c>
    </row>
    <row r="466" spans="1:24" x14ac:dyDescent="0.25">
      <c r="A466" s="32">
        <v>465</v>
      </c>
      <c r="B466" s="32" t="s">
        <v>1345</v>
      </c>
      <c r="C466" s="32" t="s">
        <v>33</v>
      </c>
      <c r="D466" s="32" t="s">
        <v>90</v>
      </c>
      <c r="E466" s="32" t="s">
        <v>36</v>
      </c>
      <c r="F466" s="32">
        <v>0</v>
      </c>
      <c r="G466" s="33">
        <v>500</v>
      </c>
      <c r="H466" s="33">
        <v>7068</v>
      </c>
      <c r="I466" s="34">
        <v>7.0999999999999994E-2</v>
      </c>
      <c r="J466" s="35">
        <v>46238</v>
      </c>
      <c r="K466" s="36">
        <v>46235</v>
      </c>
      <c r="L466" s="32" t="s">
        <v>80</v>
      </c>
      <c r="M466" s="32" t="s">
        <v>81</v>
      </c>
      <c r="N466" s="32" t="s">
        <v>544</v>
      </c>
      <c r="O466" s="32" t="s">
        <v>125</v>
      </c>
      <c r="P466" s="32" t="s">
        <v>84</v>
      </c>
      <c r="Q466" s="32" t="s">
        <v>85</v>
      </c>
      <c r="R466" s="32">
        <v>0</v>
      </c>
      <c r="S466" s="32">
        <v>1</v>
      </c>
      <c r="T466" s="32">
        <v>1</v>
      </c>
      <c r="U466" s="32">
        <v>0</v>
      </c>
      <c r="V466" s="32" t="s">
        <v>96</v>
      </c>
      <c r="W466" s="32" t="s">
        <v>1346</v>
      </c>
      <c r="X466" s="32" t="s">
        <v>1347</v>
      </c>
    </row>
    <row r="467" spans="1:24" x14ac:dyDescent="0.25">
      <c r="A467" s="32">
        <v>466</v>
      </c>
      <c r="B467" s="32" t="s">
        <v>1348</v>
      </c>
      <c r="C467" s="32" t="s">
        <v>4</v>
      </c>
      <c r="D467" s="32" t="s">
        <v>79</v>
      </c>
      <c r="E467" s="32" t="s">
        <v>32</v>
      </c>
      <c r="F467" s="32">
        <v>0</v>
      </c>
      <c r="G467" s="33">
        <v>250</v>
      </c>
      <c r="H467" s="33">
        <v>22370</v>
      </c>
      <c r="I467" s="34">
        <v>1.0999999999999999E-2</v>
      </c>
      <c r="J467" s="35">
        <v>46265</v>
      </c>
      <c r="K467" s="36">
        <v>46235</v>
      </c>
      <c r="L467" s="32" t="s">
        <v>80</v>
      </c>
      <c r="M467" s="32" t="s">
        <v>81</v>
      </c>
      <c r="N467" s="32" t="s">
        <v>82</v>
      </c>
      <c r="O467" s="32" t="s">
        <v>83</v>
      </c>
      <c r="P467" s="32" t="s">
        <v>101</v>
      </c>
      <c r="Q467" s="32" t="s">
        <v>95</v>
      </c>
      <c r="R467" s="32">
        <v>0</v>
      </c>
      <c r="S467" s="32">
        <v>1</v>
      </c>
      <c r="T467" s="32">
        <v>1</v>
      </c>
      <c r="U467" s="32">
        <v>0</v>
      </c>
      <c r="V467" s="32" t="s">
        <v>96</v>
      </c>
      <c r="W467" s="32" t="s">
        <v>484</v>
      </c>
      <c r="X467" s="32" t="s">
        <v>1349</v>
      </c>
    </row>
    <row r="468" spans="1:24" x14ac:dyDescent="0.25">
      <c r="A468" s="32">
        <v>467</v>
      </c>
      <c r="B468" s="32" t="s">
        <v>1350</v>
      </c>
      <c r="C468" s="32" t="s">
        <v>33</v>
      </c>
      <c r="D468" s="32" t="s">
        <v>90</v>
      </c>
      <c r="E468" s="32" t="s">
        <v>32</v>
      </c>
      <c r="F468" s="32">
        <v>0</v>
      </c>
      <c r="G468" s="33">
        <v>600</v>
      </c>
      <c r="H468" s="33">
        <v>3000</v>
      </c>
      <c r="I468" s="34">
        <v>0.2</v>
      </c>
      <c r="J468" s="35">
        <v>46153</v>
      </c>
      <c r="K468" s="36">
        <v>46143</v>
      </c>
      <c r="L468" s="32" t="s">
        <v>80</v>
      </c>
      <c r="M468" s="32" t="s">
        <v>91</v>
      </c>
      <c r="N468" s="32" t="s">
        <v>622</v>
      </c>
      <c r="O468" s="32" t="s">
        <v>125</v>
      </c>
      <c r="P468" s="32" t="s">
        <v>119</v>
      </c>
      <c r="Q468" s="32" t="s">
        <v>85</v>
      </c>
      <c r="R468" s="32">
        <v>0</v>
      </c>
      <c r="S468" s="32">
        <v>1</v>
      </c>
      <c r="T468" s="32">
        <v>1</v>
      </c>
      <c r="U468" s="32">
        <v>0</v>
      </c>
      <c r="V468" s="32" t="s">
        <v>96</v>
      </c>
      <c r="W468" s="32" t="s">
        <v>228</v>
      </c>
      <c r="X468" s="32" t="s">
        <v>1351</v>
      </c>
    </row>
    <row r="469" spans="1:24" x14ac:dyDescent="0.25">
      <c r="A469" s="32">
        <v>468</v>
      </c>
      <c r="B469" s="32" t="s">
        <v>1352</v>
      </c>
      <c r="C469" s="32" t="s">
        <v>33</v>
      </c>
      <c r="D469" s="32" t="s">
        <v>90</v>
      </c>
      <c r="E469" s="32" t="s">
        <v>32</v>
      </c>
      <c r="F469" s="32">
        <v>0</v>
      </c>
      <c r="G469" s="33">
        <v>261</v>
      </c>
      <c r="H469" s="33">
        <v>8700</v>
      </c>
      <c r="I469" s="34">
        <v>0.03</v>
      </c>
      <c r="J469" s="35">
        <v>46268</v>
      </c>
      <c r="K469" s="36">
        <v>46266</v>
      </c>
      <c r="L469" s="32" t="s">
        <v>80</v>
      </c>
      <c r="M469" s="32" t="s">
        <v>151</v>
      </c>
      <c r="N469" s="32" t="s">
        <v>350</v>
      </c>
      <c r="O469" s="32" t="s">
        <v>125</v>
      </c>
      <c r="P469" s="32" t="s">
        <v>101</v>
      </c>
      <c r="Q469" s="32" t="s">
        <v>95</v>
      </c>
      <c r="R469" s="32">
        <v>0</v>
      </c>
      <c r="S469" s="32">
        <v>1</v>
      </c>
      <c r="T469" s="32">
        <v>1</v>
      </c>
      <c r="U469" s="32">
        <v>0</v>
      </c>
      <c r="V469" s="32" t="s">
        <v>96</v>
      </c>
      <c r="W469" s="32" t="s">
        <v>1353</v>
      </c>
      <c r="X469" s="32" t="s">
        <v>1354</v>
      </c>
    </row>
    <row r="470" spans="1:24" x14ac:dyDescent="0.25">
      <c r="A470" s="32">
        <v>469</v>
      </c>
      <c r="B470" s="32" t="s">
        <v>1355</v>
      </c>
      <c r="C470" s="32" t="s">
        <v>2</v>
      </c>
      <c r="D470" s="32" t="s">
        <v>79</v>
      </c>
      <c r="E470" s="32" t="s">
        <v>32</v>
      </c>
      <c r="F470" s="32">
        <v>0</v>
      </c>
      <c r="G470" s="33">
        <v>700</v>
      </c>
      <c r="H470" s="33">
        <v>3000</v>
      </c>
      <c r="I470" s="34">
        <v>0.23300000000000001</v>
      </c>
      <c r="J470" s="35">
        <v>46300</v>
      </c>
      <c r="K470" s="36">
        <v>46296</v>
      </c>
      <c r="L470" s="32" t="s">
        <v>80</v>
      </c>
      <c r="M470" s="32" t="s">
        <v>178</v>
      </c>
      <c r="N470" s="32" t="s">
        <v>1356</v>
      </c>
      <c r="O470" s="32" t="s">
        <v>125</v>
      </c>
      <c r="P470" s="32" t="s">
        <v>119</v>
      </c>
      <c r="Q470" s="32" t="s">
        <v>85</v>
      </c>
      <c r="R470" s="32">
        <v>0</v>
      </c>
      <c r="S470" s="32">
        <v>1</v>
      </c>
      <c r="T470" s="32">
        <v>1</v>
      </c>
      <c r="U470" s="32">
        <v>0</v>
      </c>
      <c r="V470" s="32" t="s">
        <v>96</v>
      </c>
      <c r="W470" s="32" t="s">
        <v>1357</v>
      </c>
      <c r="X470" s="32" t="s">
        <v>1358</v>
      </c>
    </row>
    <row r="471" spans="1:24" x14ac:dyDescent="0.25">
      <c r="A471" s="32">
        <v>470</v>
      </c>
      <c r="B471" s="32" t="s">
        <v>1359</v>
      </c>
      <c r="C471" s="32" t="s">
        <v>29</v>
      </c>
      <c r="D471" s="32" t="s">
        <v>79</v>
      </c>
      <c r="E471" s="32" t="s">
        <v>36</v>
      </c>
      <c r="F471" s="32">
        <v>0</v>
      </c>
      <c r="G471" s="33">
        <v>340</v>
      </c>
      <c r="H471" s="33">
        <v>10000</v>
      </c>
      <c r="I471" s="34">
        <v>3.4000000000000002E-2</v>
      </c>
      <c r="J471" s="35">
        <v>46273</v>
      </c>
      <c r="K471" s="36">
        <v>46266</v>
      </c>
      <c r="L471" s="32" t="s">
        <v>80</v>
      </c>
      <c r="M471" s="32" t="s">
        <v>151</v>
      </c>
      <c r="N471" s="32" t="s">
        <v>434</v>
      </c>
      <c r="O471" s="32" t="s">
        <v>83</v>
      </c>
      <c r="P471" s="32" t="s">
        <v>101</v>
      </c>
      <c r="Q471" s="32" t="s">
        <v>95</v>
      </c>
      <c r="R471" s="32">
        <v>0</v>
      </c>
      <c r="S471" s="32">
        <v>1</v>
      </c>
      <c r="T471" s="32">
        <v>1</v>
      </c>
      <c r="U471" s="32">
        <v>0</v>
      </c>
      <c r="V471" s="32" t="s">
        <v>96</v>
      </c>
      <c r="W471" s="32" t="s">
        <v>1360</v>
      </c>
      <c r="X471" s="32" t="s">
        <v>1361</v>
      </c>
    </row>
    <row r="472" spans="1:24" x14ac:dyDescent="0.25">
      <c r="A472" s="32">
        <v>471</v>
      </c>
      <c r="B472" s="32" t="s">
        <v>1362</v>
      </c>
      <c r="C472" s="32" t="s">
        <v>33</v>
      </c>
      <c r="D472" s="32" t="s">
        <v>90</v>
      </c>
      <c r="E472" s="32" t="s">
        <v>32</v>
      </c>
      <c r="F472" s="32">
        <v>0</v>
      </c>
      <c r="G472" s="33">
        <v>800</v>
      </c>
      <c r="H472" s="33">
        <v>12300</v>
      </c>
      <c r="I472" s="34">
        <v>6.5000000000000002E-2</v>
      </c>
      <c r="J472" s="35">
        <v>46079</v>
      </c>
      <c r="K472" s="36">
        <v>46054</v>
      </c>
      <c r="L472" s="32" t="s">
        <v>80</v>
      </c>
      <c r="M472" s="32" t="s">
        <v>187</v>
      </c>
      <c r="N472" s="32" t="s">
        <v>275</v>
      </c>
      <c r="O472" s="32" t="s">
        <v>83</v>
      </c>
      <c r="P472" s="32" t="s">
        <v>84</v>
      </c>
      <c r="Q472" s="32" t="s">
        <v>85</v>
      </c>
      <c r="R472" s="32">
        <v>0</v>
      </c>
      <c r="S472" s="32">
        <v>1</v>
      </c>
      <c r="T472" s="32">
        <v>1</v>
      </c>
      <c r="U472" s="32">
        <v>0</v>
      </c>
      <c r="V472" s="32" t="s">
        <v>96</v>
      </c>
      <c r="W472" s="32" t="s">
        <v>142</v>
      </c>
      <c r="X472" s="32" t="s">
        <v>1363</v>
      </c>
    </row>
    <row r="473" spans="1:24" x14ac:dyDescent="0.25">
      <c r="A473" s="32">
        <v>472</v>
      </c>
      <c r="B473" s="32" t="s">
        <v>1364</v>
      </c>
      <c r="C473" s="32" t="s">
        <v>29</v>
      </c>
      <c r="D473" s="32" t="s">
        <v>79</v>
      </c>
      <c r="E473" s="32" t="s">
        <v>32</v>
      </c>
      <c r="F473" s="32">
        <v>0</v>
      </c>
      <c r="G473" s="33">
        <v>100</v>
      </c>
      <c r="H473" s="33">
        <v>10000</v>
      </c>
      <c r="I473" s="34">
        <v>0.01</v>
      </c>
      <c r="J473" s="35">
        <v>46198</v>
      </c>
      <c r="K473" s="36">
        <v>46174</v>
      </c>
      <c r="L473" s="32" t="s">
        <v>80</v>
      </c>
      <c r="M473" s="32" t="s">
        <v>194</v>
      </c>
      <c r="N473" s="32" t="s">
        <v>263</v>
      </c>
      <c r="O473" s="32" t="s">
        <v>83</v>
      </c>
      <c r="P473" s="32" t="s">
        <v>101</v>
      </c>
      <c r="Q473" s="32" t="s">
        <v>95</v>
      </c>
      <c r="R473" s="32">
        <v>0</v>
      </c>
      <c r="S473" s="32">
        <v>1</v>
      </c>
      <c r="T473" s="32">
        <v>1</v>
      </c>
      <c r="U473" s="32">
        <v>0</v>
      </c>
      <c r="V473" s="32" t="s">
        <v>96</v>
      </c>
      <c r="W473" s="32" t="s">
        <v>1365</v>
      </c>
      <c r="X473" s="32" t="s">
        <v>1366</v>
      </c>
    </row>
    <row r="474" spans="1:24" x14ac:dyDescent="0.25">
      <c r="A474" s="32">
        <v>473</v>
      </c>
      <c r="B474" s="32" t="s">
        <v>1367</v>
      </c>
      <c r="C474" s="32" t="s">
        <v>33</v>
      </c>
      <c r="D474" s="32" t="s">
        <v>90</v>
      </c>
      <c r="E474" s="32" t="s">
        <v>32</v>
      </c>
      <c r="F474" s="32">
        <v>0</v>
      </c>
      <c r="G474" s="33">
        <v>136</v>
      </c>
      <c r="H474" s="33">
        <v>270</v>
      </c>
      <c r="I474" s="34">
        <v>0.504</v>
      </c>
      <c r="J474" s="35">
        <v>46210</v>
      </c>
      <c r="K474" s="36">
        <v>46204</v>
      </c>
      <c r="L474" s="32" t="s">
        <v>80</v>
      </c>
      <c r="M474" s="32" t="s">
        <v>123</v>
      </c>
      <c r="N474" s="32" t="s">
        <v>357</v>
      </c>
      <c r="O474" s="32" t="s">
        <v>93</v>
      </c>
      <c r="P474" s="32" t="s">
        <v>94</v>
      </c>
      <c r="Q474" s="32" t="s">
        <v>95</v>
      </c>
      <c r="R474" s="32">
        <v>0</v>
      </c>
      <c r="S474" s="32">
        <v>1</v>
      </c>
      <c r="T474" s="32">
        <v>1</v>
      </c>
      <c r="U474" s="32">
        <v>0</v>
      </c>
      <c r="V474" s="32" t="s">
        <v>96</v>
      </c>
      <c r="W474" s="32" t="s">
        <v>1259</v>
      </c>
      <c r="X474" s="32" t="s">
        <v>1368</v>
      </c>
    </row>
    <row r="475" spans="1:24" x14ac:dyDescent="0.25">
      <c r="A475" s="32">
        <v>474</v>
      </c>
      <c r="B475" s="32" t="s">
        <v>1369</v>
      </c>
      <c r="C475" s="32" t="s">
        <v>33</v>
      </c>
      <c r="D475" s="32" t="s">
        <v>90</v>
      </c>
      <c r="E475" s="32" t="s">
        <v>30</v>
      </c>
      <c r="F475" s="32">
        <v>1</v>
      </c>
      <c r="G475" s="33">
        <v>620</v>
      </c>
      <c r="H475" s="33">
        <v>3100</v>
      </c>
      <c r="I475" s="34">
        <v>0.2</v>
      </c>
      <c r="J475" s="35">
        <v>46225</v>
      </c>
      <c r="K475" s="36">
        <v>46204</v>
      </c>
      <c r="L475" s="32" t="s">
        <v>80</v>
      </c>
      <c r="M475" s="32" t="s">
        <v>123</v>
      </c>
      <c r="N475" s="32" t="s">
        <v>1034</v>
      </c>
      <c r="O475" s="32" t="s">
        <v>125</v>
      </c>
      <c r="P475" s="32" t="s">
        <v>119</v>
      </c>
      <c r="Q475" s="32" t="s">
        <v>85</v>
      </c>
      <c r="R475" s="32">
        <v>0</v>
      </c>
      <c r="S475" s="32">
        <v>1</v>
      </c>
      <c r="T475" s="32">
        <v>1</v>
      </c>
      <c r="U475" s="32">
        <v>0</v>
      </c>
      <c r="V475" s="32" t="s">
        <v>96</v>
      </c>
      <c r="W475" s="32" t="s">
        <v>252</v>
      </c>
      <c r="X475" s="32" t="s">
        <v>1370</v>
      </c>
    </row>
    <row r="476" spans="1:24" x14ac:dyDescent="0.25">
      <c r="A476" s="32">
        <v>475</v>
      </c>
      <c r="B476" s="32" t="s">
        <v>1371</v>
      </c>
      <c r="C476" s="32" t="s">
        <v>33</v>
      </c>
      <c r="D476" s="32" t="s">
        <v>90</v>
      </c>
      <c r="E476" s="32" t="s">
        <v>32</v>
      </c>
      <c r="F476" s="32">
        <v>0</v>
      </c>
      <c r="G476" s="33">
        <v>50</v>
      </c>
      <c r="H476" s="33">
        <v>500</v>
      </c>
      <c r="I476" s="34">
        <v>0.1</v>
      </c>
      <c r="J476" s="35">
        <v>46054</v>
      </c>
      <c r="K476" s="36">
        <v>46054</v>
      </c>
      <c r="L476" s="32" t="s">
        <v>25</v>
      </c>
      <c r="M476" s="32" t="s">
        <v>187</v>
      </c>
      <c r="N476" s="32" t="s">
        <v>187</v>
      </c>
      <c r="O476" s="32" t="s">
        <v>93</v>
      </c>
      <c r="P476" s="32" t="s">
        <v>119</v>
      </c>
      <c r="Q476" s="32" t="s">
        <v>137</v>
      </c>
      <c r="R476" s="32">
        <v>0</v>
      </c>
      <c r="S476" s="32">
        <v>1</v>
      </c>
      <c r="T476" s="32">
        <v>1</v>
      </c>
      <c r="U476" s="32">
        <v>0</v>
      </c>
      <c r="V476" s="32" t="s">
        <v>96</v>
      </c>
      <c r="W476" s="32" t="s">
        <v>1372</v>
      </c>
      <c r="X476" s="32" t="s">
        <v>1373</v>
      </c>
    </row>
  </sheetData>
  <pageMargins left="0.75" right="0.75" top="1" bottom="1" header="0.5" footer="0.5"/>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16"/>
  <sheetViews>
    <sheetView workbookViewId="0"/>
  </sheetViews>
  <sheetFormatPr defaultRowHeight="15" x14ac:dyDescent="0.25"/>
  <cols>
    <col min="1" max="1" width="55" customWidth="1"/>
    <col min="2" max="2" width="14" customWidth="1"/>
    <col min="3" max="3" width="80" customWidth="1"/>
  </cols>
  <sheetData>
    <row r="1" spans="1:3" x14ac:dyDescent="0.25">
      <c r="A1" s="37" t="s">
        <v>1374</v>
      </c>
      <c r="B1" s="37" t="s">
        <v>1375</v>
      </c>
      <c r="C1" s="37" t="s">
        <v>1376</v>
      </c>
    </row>
    <row r="2" spans="1:3" x14ac:dyDescent="0.25">
      <c r="A2" s="38" t="s">
        <v>1377</v>
      </c>
      <c r="B2" s="38">
        <v>3</v>
      </c>
      <c r="C2" s="38" t="s">
        <v>1378</v>
      </c>
    </row>
    <row r="3" spans="1:3" x14ac:dyDescent="0.25">
      <c r="A3" s="38" t="s">
        <v>1379</v>
      </c>
      <c r="B3" s="38">
        <v>0</v>
      </c>
      <c r="C3" s="38" t="s">
        <v>1380</v>
      </c>
    </row>
    <row r="4" spans="1:3" x14ac:dyDescent="0.25">
      <c r="A4" s="38" t="s">
        <v>1381</v>
      </c>
      <c r="B4" s="38">
        <v>2</v>
      </c>
      <c r="C4" s="38" t="s">
        <v>1382</v>
      </c>
    </row>
    <row r="5" spans="1:3" x14ac:dyDescent="0.25">
      <c r="A5" s="38" t="s">
        <v>1383</v>
      </c>
      <c r="B5" s="38">
        <v>24</v>
      </c>
      <c r="C5" s="38" t="s">
        <v>1384</v>
      </c>
    </row>
    <row r="6" spans="1:3" x14ac:dyDescent="0.25">
      <c r="A6" s="38" t="s">
        <v>1385</v>
      </c>
      <c r="B6" s="38">
        <v>3</v>
      </c>
      <c r="C6" s="38" t="s">
        <v>1386</v>
      </c>
    </row>
    <row r="7" spans="1:3" x14ac:dyDescent="0.25">
      <c r="A7" s="38" t="s">
        <v>1387</v>
      </c>
      <c r="B7" s="38">
        <v>3</v>
      </c>
      <c r="C7" s="38" t="s">
        <v>1388</v>
      </c>
    </row>
    <row r="8" spans="1:3" x14ac:dyDescent="0.25">
      <c r="A8" s="38" t="s">
        <v>1389</v>
      </c>
      <c r="B8" s="38">
        <v>0</v>
      </c>
      <c r="C8" s="38" t="s">
        <v>1390</v>
      </c>
    </row>
    <row r="9" spans="1:3" x14ac:dyDescent="0.25">
      <c r="A9" s="38" t="s">
        <v>1391</v>
      </c>
      <c r="B9" s="38">
        <v>475</v>
      </c>
      <c r="C9" s="38" t="s">
        <v>1392</v>
      </c>
    </row>
    <row r="10" spans="1:3" x14ac:dyDescent="0.25">
      <c r="A10" s="38" t="s">
        <v>1393</v>
      </c>
      <c r="B10" s="38">
        <v>0</v>
      </c>
      <c r="C10" s="38" t="s">
        <v>1394</v>
      </c>
    </row>
    <row r="11" spans="1:3" x14ac:dyDescent="0.25">
      <c r="A11" s="38" t="s">
        <v>1395</v>
      </c>
      <c r="B11" s="38">
        <v>9</v>
      </c>
      <c r="C11" s="38" t="s">
        <v>1396</v>
      </c>
    </row>
    <row r="12" spans="1:3" x14ac:dyDescent="0.25">
      <c r="A12" s="38" t="s">
        <v>1397</v>
      </c>
      <c r="B12" s="38">
        <v>0</v>
      </c>
      <c r="C12" s="38" t="s">
        <v>1390</v>
      </c>
    </row>
    <row r="13" spans="1:3" x14ac:dyDescent="0.25">
      <c r="A13" s="38" t="s">
        <v>1398</v>
      </c>
      <c r="B13" s="38">
        <v>39</v>
      </c>
      <c r="C13" s="38" t="s">
        <v>1399</v>
      </c>
    </row>
    <row r="14" spans="1:3" x14ac:dyDescent="0.25">
      <c r="A14" s="38" t="s">
        <v>1400</v>
      </c>
      <c r="B14" s="38">
        <v>0</v>
      </c>
      <c r="C14" s="38" t="s">
        <v>1401</v>
      </c>
    </row>
    <row r="15" spans="1:3" x14ac:dyDescent="0.25">
      <c r="A15" s="38" t="s">
        <v>1402</v>
      </c>
      <c r="B15" s="38">
        <v>0</v>
      </c>
      <c r="C15" s="38" t="s">
        <v>1403</v>
      </c>
    </row>
    <row r="16" spans="1:3" x14ac:dyDescent="0.25">
      <c r="A16" s="38" t="s">
        <v>1404</v>
      </c>
      <c r="B16" s="38">
        <v>475</v>
      </c>
      <c r="C16" s="38" t="s">
        <v>1405</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28"/>
  <sheetViews>
    <sheetView workbookViewId="0"/>
  </sheetViews>
  <sheetFormatPr defaultRowHeight="15" x14ac:dyDescent="0.25"/>
  <cols>
    <col min="1" max="1" width="24" customWidth="1"/>
    <col min="2" max="2" width="110" customWidth="1"/>
  </cols>
  <sheetData>
    <row r="1" spans="1:2" x14ac:dyDescent="0.25">
      <c r="A1" s="31" t="s">
        <v>1406</v>
      </c>
      <c r="B1" s="31" t="s">
        <v>1407</v>
      </c>
    </row>
    <row r="2" spans="1:2" x14ac:dyDescent="0.25">
      <c r="A2" s="31" t="s">
        <v>54</v>
      </c>
      <c r="B2" s="32" t="s">
        <v>1408</v>
      </c>
    </row>
    <row r="3" spans="1:2" x14ac:dyDescent="0.25">
      <c r="A3" s="31" t="s">
        <v>55</v>
      </c>
      <c r="B3" s="32" t="s">
        <v>1409</v>
      </c>
    </row>
    <row r="4" spans="1:2" x14ac:dyDescent="0.25">
      <c r="A4" s="31" t="s">
        <v>56</v>
      </c>
      <c r="B4" s="32" t="s">
        <v>1410</v>
      </c>
    </row>
    <row r="5" spans="1:2" x14ac:dyDescent="0.25">
      <c r="A5" s="31" t="s">
        <v>57</v>
      </c>
      <c r="B5" s="32" t="s">
        <v>1411</v>
      </c>
    </row>
    <row r="6" spans="1:2" x14ac:dyDescent="0.25">
      <c r="A6" s="31" t="s">
        <v>58</v>
      </c>
      <c r="B6" s="32" t="s">
        <v>1412</v>
      </c>
    </row>
    <row r="7" spans="1:2" x14ac:dyDescent="0.25">
      <c r="A7" s="31" t="s">
        <v>59</v>
      </c>
      <c r="B7" s="32" t="s">
        <v>1413</v>
      </c>
    </row>
    <row r="8" spans="1:2" x14ac:dyDescent="0.25">
      <c r="A8" s="31" t="s">
        <v>60</v>
      </c>
      <c r="B8" s="32" t="s">
        <v>1414</v>
      </c>
    </row>
    <row r="9" spans="1:2" x14ac:dyDescent="0.25">
      <c r="A9" s="31" t="s">
        <v>61</v>
      </c>
      <c r="B9" s="32" t="s">
        <v>1415</v>
      </c>
    </row>
    <row r="10" spans="1:2" x14ac:dyDescent="0.25">
      <c r="A10" s="31" t="s">
        <v>62</v>
      </c>
      <c r="B10" s="32" t="s">
        <v>1416</v>
      </c>
    </row>
    <row r="11" spans="1:2" x14ac:dyDescent="0.25">
      <c r="A11" s="31" t="s">
        <v>63</v>
      </c>
      <c r="B11" s="32" t="s">
        <v>1417</v>
      </c>
    </row>
    <row r="12" spans="1:2" x14ac:dyDescent="0.25">
      <c r="A12" s="31" t="s">
        <v>64</v>
      </c>
      <c r="B12" s="32" t="s">
        <v>1418</v>
      </c>
    </row>
    <row r="13" spans="1:2" x14ac:dyDescent="0.25">
      <c r="A13" s="31" t="s">
        <v>65</v>
      </c>
      <c r="B13" s="32" t="s">
        <v>1419</v>
      </c>
    </row>
    <row r="14" spans="1:2" x14ac:dyDescent="0.25">
      <c r="A14" s="31" t="s">
        <v>66</v>
      </c>
      <c r="B14" s="32" t="s">
        <v>1420</v>
      </c>
    </row>
    <row r="15" spans="1:2" x14ac:dyDescent="0.25">
      <c r="A15" s="31" t="s">
        <v>67</v>
      </c>
      <c r="B15" s="32" t="s">
        <v>1421</v>
      </c>
    </row>
    <row r="16" spans="1:2" x14ac:dyDescent="0.25">
      <c r="A16" s="31" t="s">
        <v>68</v>
      </c>
      <c r="B16" s="32" t="s">
        <v>1422</v>
      </c>
    </row>
    <row r="17" spans="1:2" x14ac:dyDescent="0.25">
      <c r="A17" s="31" t="s">
        <v>69</v>
      </c>
      <c r="B17" s="32" t="s">
        <v>1423</v>
      </c>
    </row>
    <row r="18" spans="1:2" x14ac:dyDescent="0.25">
      <c r="A18" s="31" t="s">
        <v>70</v>
      </c>
      <c r="B18" s="32" t="s">
        <v>1424</v>
      </c>
    </row>
    <row r="19" spans="1:2" x14ac:dyDescent="0.25">
      <c r="A19" s="31" t="s">
        <v>71</v>
      </c>
      <c r="B19" s="32" t="s">
        <v>1425</v>
      </c>
    </row>
    <row r="20" spans="1:2" x14ac:dyDescent="0.25">
      <c r="A20" s="31" t="s">
        <v>72</v>
      </c>
      <c r="B20" s="32" t="s">
        <v>1426</v>
      </c>
    </row>
    <row r="21" spans="1:2" x14ac:dyDescent="0.25">
      <c r="A21" s="31" t="s">
        <v>73</v>
      </c>
      <c r="B21" s="32" t="s">
        <v>1427</v>
      </c>
    </row>
    <row r="22" spans="1:2" x14ac:dyDescent="0.25">
      <c r="A22" s="31" t="s">
        <v>74</v>
      </c>
      <c r="B22" s="32" t="s">
        <v>1428</v>
      </c>
    </row>
    <row r="23" spans="1:2" x14ac:dyDescent="0.25">
      <c r="A23" s="31" t="s">
        <v>75</v>
      </c>
      <c r="B23" s="32" t="s">
        <v>1429</v>
      </c>
    </row>
    <row r="24" spans="1:2" x14ac:dyDescent="0.25">
      <c r="A24" s="31" t="s">
        <v>76</v>
      </c>
      <c r="B24" s="32" t="s">
        <v>1430</v>
      </c>
    </row>
    <row r="25" spans="1:2" x14ac:dyDescent="0.25">
      <c r="A25" s="31" t="s">
        <v>77</v>
      </c>
      <c r="B25" s="32" t="s">
        <v>1431</v>
      </c>
    </row>
    <row r="26" spans="1:2" x14ac:dyDescent="0.25">
      <c r="A26" s="31"/>
      <c r="B26" s="32"/>
    </row>
    <row r="27" spans="1:2" x14ac:dyDescent="0.25">
      <c r="A27" s="31" t="s">
        <v>1432</v>
      </c>
      <c r="B27" s="32" t="s">
        <v>1433</v>
      </c>
    </row>
    <row r="28" spans="1:2" x14ac:dyDescent="0.25">
      <c r="A28" s="31" t="s">
        <v>1434</v>
      </c>
      <c r="B28" s="32" t="s">
        <v>1435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9</vt:i4>
      </vt:variant>
    </vt:vector>
  </HeadingPairs>
  <TitlesOfParts>
    <vt:vector size="15" baseType="lpstr">
      <vt:lpstr>Cover</vt:lpstr>
      <vt:lpstr>Dashboard</vt:lpstr>
      <vt:lpstr>Pivot</vt:lpstr>
      <vt:lpstr>Data</vt:lpstr>
      <vt:lpstr>Data_Quality</vt:lpstr>
      <vt:lpstr>Dictionary</vt:lpstr>
      <vt:lpstr>d_category_label</vt:lpstr>
      <vt:lpstr>d_company_size_band</vt:lpstr>
      <vt:lpstr>d_industry</vt:lpstr>
      <vt:lpstr>d_is_ai_driven</vt:lpstr>
      <vt:lpstr>d_is_shutdown</vt:lpstr>
      <vt:lpstr>d_month_start</vt:lpstr>
      <vt:lpstr>d_people_cut</vt:lpstr>
      <vt:lpstr>d_sector_group</vt:lpstr>
      <vt:lpstr>d_workforce_pct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Hatim Aliasgar</cp:lastModifiedBy>
  <dcterms:created xsi:type="dcterms:W3CDTF">2026-10-07T06:28:59Z</dcterms:created>
  <dcterms:modified xsi:type="dcterms:W3CDTF">2026-10-07T06:29:03Z</dcterms:modified>
</cp:coreProperties>
</file>